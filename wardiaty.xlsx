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جدول" sheetId="1" r:id="rId4"/>
    <sheet state="visible" name="مجمع" sheetId="2" r:id="rId5"/>
  </sheets>
  <definedNames/>
  <calcPr/>
</workbook>
</file>

<file path=xl/sharedStrings.xml><?xml version="1.0" encoding="utf-8"?>
<sst xmlns="http://schemas.openxmlformats.org/spreadsheetml/2006/main" count="1841" uniqueCount="103">
  <si>
    <t xml:space="preserve"> </t>
  </si>
  <si>
    <t>ER ADMISSION-NIGHT-🚨🌙</t>
  </si>
  <si>
    <t>ER ADMISSIONS -DAY-🚨☀️</t>
  </si>
  <si>
    <t>ER GENERAL-DAY-🚨☀️</t>
  </si>
  <si>
    <t>ER GENERAL-NIGHT-🚨🌙</t>
  </si>
  <si>
    <t>ER PT-DAY-🚨☀️</t>
  </si>
  <si>
    <t>ER PT-NIGHT-🚨🌙</t>
  </si>
  <si>
    <t>ER TRIAGE-DAY-🚨☀️</t>
  </si>
  <si>
    <t>ER TRIAGE-NIGHT-🚨🌙</t>
  </si>
  <si>
    <t>ER WARD-DAY-🚨☀️</t>
  </si>
  <si>
    <t>ER WARD-NIGHT-🚨🌙</t>
  </si>
  <si>
    <t>🗡️LISTA</t>
  </si>
  <si>
    <t>WARD-DAY-☀️</t>
  </si>
  <si>
    <t>WARD-NIGHT-🌙</t>
  </si>
  <si>
    <t>2026-01-10 السبت</t>
  </si>
  <si>
    <t>----------</t>
  </si>
  <si>
    <t>هديل هشام منصور الوشاحي
(01227221344)</t>
  </si>
  <si>
    <t>Sara Refaat
(01220039613)</t>
  </si>
  <si>
    <t>يوسف عاطف رزق الله
(01148183647)</t>
  </si>
  <si>
    <t>دانه طارق
(01012809042)</t>
  </si>
  <si>
    <t>عمرو عبدالغفار حمزة
(01014246636)</t>
  </si>
  <si>
    <t>نورهان محمد
(0112 826 8287)</t>
  </si>
  <si>
    <t>احمد حسين أحمد
(01001877491)</t>
  </si>
  <si>
    <t>رؤى أحمد عبدالحميد البليهي
(01021284862)</t>
  </si>
  <si>
    <t>احمد ايهاب محمد عواد
(01032298339)</t>
  </si>
  <si>
    <t>محمد محمود ابراهيم
(01112057358)</t>
  </si>
  <si>
    <t>مينا رومانى عبده
(01212866642)</t>
  </si>
  <si>
    <t>2026-01-11 الأحد</t>
  </si>
  <si>
    <t>Ziad said mohamed
(01028577876)</t>
  </si>
  <si>
    <t>حنان النبوى محمد
(01067888751)</t>
  </si>
  <si>
    <t>مي طارق نهاد
(01287477488)</t>
  </si>
  <si>
    <t>روان ياسر سليم
(01005005160)</t>
  </si>
  <si>
    <t>Alaa mahmoud El haddad
(01033882560)</t>
  </si>
  <si>
    <t>محمد احمد بسام الجمل
(01091463337)</t>
  </si>
  <si>
    <t>هديل نادي محند
(01033032220)</t>
  </si>
  <si>
    <t>شدو محمد شلتوت
(1550336384)</t>
  </si>
  <si>
    <t>عبدالمسيح مكرم
(01203267885)</t>
  </si>
  <si>
    <t>سندس أحمد سيد
(01156131096)</t>
  </si>
  <si>
    <t>منة السيد عبد الباقي
(01274588193)</t>
  </si>
  <si>
    <t>عبدالله احمد
(01020242571)</t>
  </si>
  <si>
    <t>محمود عبد المحسن إبراهيم
(01062086612)</t>
  </si>
  <si>
    <t>كارين باسم صومائيل
(01274209975)</t>
  </si>
  <si>
    <t>احمد ناصر
(01553479200)</t>
  </si>
  <si>
    <t>سعيد السيد محمد السيد محمد سابق
(01203394950)</t>
  </si>
  <si>
    <t>احمد عزت الشيخ
(01226872660)</t>
  </si>
  <si>
    <t>منه الله هشام السيد
(01002996214)</t>
  </si>
  <si>
    <t>زينة أشرف حسين
(01067196820)</t>
  </si>
  <si>
    <t>منار عواد عبدالعال عواد
(01001915861)</t>
  </si>
  <si>
    <t>يوسف طه السيد
(01207620695)</t>
  </si>
  <si>
    <t>مصطفى عبد الراضى صديق
(01226696153)</t>
  </si>
  <si>
    <t>تقى عماد حسني
(01119716276)</t>
  </si>
  <si>
    <t>سلمى أبوالعلا
(01124166114)</t>
  </si>
  <si>
    <t>شهاب احمد حلمي
(01055979002)</t>
  </si>
  <si>
    <t>مصطفى محمد علي محمد بدر
(01150245681)</t>
  </si>
  <si>
    <t>احمد حسام الدين صلاح
(01065567736)</t>
  </si>
  <si>
    <t>عمرو وائل سرور
(01023140340)</t>
  </si>
  <si>
    <t>بلال جودة
(01066199644)</t>
  </si>
  <si>
    <t>محمد عمرو محمد عبدالباقي
(01151653320)</t>
  </si>
  <si>
    <t>استيفن مدحت منير
(01200226122)</t>
  </si>
  <si>
    <t>Mostafa Ismail
(01022400525)</t>
  </si>
  <si>
    <t>كارين روماني راشد
(01102663062)</t>
  </si>
  <si>
    <t>بلال أحمد
(01066883767)</t>
  </si>
  <si>
    <t>Marwan Ayman
(01149894940)</t>
  </si>
  <si>
    <t>مها حسين السيد
(01012349071)</t>
  </si>
  <si>
    <t>عمر محمد سيد
(01000688544)</t>
  </si>
  <si>
    <t>Youssef elsemary
(01126286820)</t>
  </si>
  <si>
    <t>عمر حسن محمد حسن حجازي
(01019701020)</t>
  </si>
  <si>
    <t>أحمد زيدان
(01110524147)</t>
  </si>
  <si>
    <t>منار احمد سعيد
(01092708033)</t>
  </si>
  <si>
    <t>احمدنوید قیومی
(01104573242)</t>
  </si>
  <si>
    <t>شيماء رمضان سعد
(01021468731)</t>
  </si>
  <si>
    <t>2026-01-12 الاثنين</t>
  </si>
  <si>
    <t>مي خالد ابوزيد
(01023578224)</t>
  </si>
  <si>
    <t>مريم السيد أحمد خيرالله
(01099882992)</t>
  </si>
  <si>
    <t>أحمد رجب محمد
(01273127265)</t>
  </si>
  <si>
    <t>محمد خالد محمد
(01008204601)</t>
  </si>
  <si>
    <t>2026-01-13 الثلاثاء</t>
  </si>
  <si>
    <t>أعناب طارق عوض
(01146334179)</t>
  </si>
  <si>
    <t>2026-01-14 الأربعاء</t>
  </si>
  <si>
    <t>رنيم حاتم رفيق بسيسو
(01144758373)</t>
  </si>
  <si>
    <t>ملك محمد فؤاد
(01001721072)</t>
  </si>
  <si>
    <t>2026-01-15 الخميس</t>
  </si>
  <si>
    <t>رنا اكرم احمد
(01122182132)</t>
  </si>
  <si>
    <t>2026-01-16 الجمعة</t>
  </si>
  <si>
    <t>ريهام سعد عبدالرحمن
(01124867574)</t>
  </si>
  <si>
    <t>2026-01-17 السبت</t>
  </si>
  <si>
    <t>2026-01-18 الأحد</t>
  </si>
  <si>
    <t>يارا إبراهيم سيد
(01021880370)</t>
  </si>
  <si>
    <t>2026-01-19 الاثنين</t>
  </si>
  <si>
    <t>2026-01-20 الثلاثاء</t>
  </si>
  <si>
    <t>2026-01-21 الأربعاء</t>
  </si>
  <si>
    <t>2026-01-22 الخميس</t>
  </si>
  <si>
    <t>2026-01-23 الجمعة</t>
  </si>
  <si>
    <t>2026-01-24 السبت</t>
  </si>
  <si>
    <t>2026-01-25 الأحد</t>
  </si>
  <si>
    <t>2026-01-26 الاثنين</t>
  </si>
  <si>
    <t>2026-01-27 الثلاثاء</t>
  </si>
  <si>
    <t>2026-01-28 الأربعاء</t>
  </si>
  <si>
    <t>2026-01-29 الخميس</t>
  </si>
  <si>
    <t>2026-01-30 الجمعة</t>
  </si>
  <si>
    <t>2026-01-31 السبت</t>
  </si>
  <si>
    <t>اليوم</t>
  </si>
  <si>
    <t>الورديات مجمعة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</si>
</sst>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Calibri"/>
    </font>
    <font>
      <u/>
      <sz val="11.0"/>
      <color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1E60A1"/>
        <bgColor rgb="FF1E60A1"/>
      </patternFill>
    </fill>
  </fills>
  <borders count="6">
    <border/>
    <border>
      <left style="thin">
        <color rgb="FFD2DFEC"/>
      </left>
      <right style="thin">
        <color rgb="FFD2DFEC"/>
      </right>
      <top style="thin">
        <color rgb="FFD2DFEC"/>
      </top>
      <bottom style="thin">
        <color rgb="FFD2DFEC"/>
      </bottom>
    </border>
    <border>
      <left style="thin">
        <color rgb="FFD2DFEC"/>
      </left>
      <right style="thin">
        <color rgb="FFD2DFEC"/>
      </right>
      <top style="thin">
        <color rgb="FFD2DFEC"/>
      </top>
    </border>
    <border>
      <left style="thin">
        <color rgb="FFD2DFEC"/>
      </left>
      <right style="thin">
        <color rgb="FFD2DFEC"/>
      </right>
    </border>
    <border>
      <left style="thin">
        <color rgb="FFD2DFEC"/>
      </left>
      <right style="thin">
        <color rgb="FFD2DFEC"/>
      </right>
      <bottom style="thin">
        <color rgb="FFD2DFE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top" wrapText="1"/>
    </xf>
    <xf borderId="1" fillId="2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vertical="top"/>
    </xf>
    <xf borderId="2" fillId="2" fontId="1" numFmtId="0" xfId="0" applyAlignment="1" applyBorder="1" applyFont="1">
      <alignment horizontal="center" readingOrder="2" shrinkToFit="0" vertical="top" wrapText="1"/>
    </xf>
    <xf borderId="1" fillId="0" fontId="3" numFmtId="0" xfId="0" applyAlignment="1" applyBorder="1" applyFont="1">
      <alignment horizontal="right" readingOrder="2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right" readingOrder="2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71"/>
    <col customWidth="1" min="2" max="14" width="22.71"/>
    <col customWidth="1" min="15" max="15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</row>
    <row r="2">
      <c r="A2" s="4" t="s">
        <v>14</v>
      </c>
      <c r="B2" s="5" t="s">
        <v>15</v>
      </c>
      <c r="C2" s="5" t="s">
        <v>15</v>
      </c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16</v>
      </c>
      <c r="M2" s="5" t="s">
        <v>17</v>
      </c>
      <c r="N2" s="5" t="s">
        <v>18</v>
      </c>
      <c r="O2" s="3" t="str">
        <f>HYPERLINK("#مجمع!B" &amp; 1, "ورديات اليوم مجمعة")</f>
        <v>ورديات اليوم مجمعة</v>
      </c>
    </row>
    <row r="3">
      <c r="A3" s="6"/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19</v>
      </c>
      <c r="M3" s="5" t="s">
        <v>20</v>
      </c>
      <c r="N3" s="5" t="s">
        <v>21</v>
      </c>
      <c r="O3" s="3"/>
    </row>
    <row r="4">
      <c r="A4" s="6"/>
      <c r="B4" s="5" t="s">
        <v>15</v>
      </c>
      <c r="C4" s="5" t="s">
        <v>15</v>
      </c>
      <c r="D4" s="5" t="s">
        <v>15</v>
      </c>
      <c r="E4" s="5" t="s">
        <v>15</v>
      </c>
      <c r="F4" s="5" t="s">
        <v>15</v>
      </c>
      <c r="G4" s="5" t="s">
        <v>15</v>
      </c>
      <c r="H4" s="5" t="s">
        <v>15</v>
      </c>
      <c r="I4" s="5" t="s">
        <v>15</v>
      </c>
      <c r="J4" s="5" t="s">
        <v>15</v>
      </c>
      <c r="K4" s="5" t="s">
        <v>15</v>
      </c>
      <c r="L4" s="5" t="s">
        <v>22</v>
      </c>
      <c r="M4" s="5" t="s">
        <v>23</v>
      </c>
      <c r="N4" s="5" t="s">
        <v>24</v>
      </c>
      <c r="O4" s="3"/>
    </row>
    <row r="5">
      <c r="A5" s="6"/>
      <c r="B5" s="5" t="s">
        <v>15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25</v>
      </c>
      <c r="N5" s="5" t="s">
        <v>15</v>
      </c>
      <c r="O5" s="3"/>
    </row>
    <row r="6">
      <c r="A6" s="7"/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  <c r="L6" s="8" t="s">
        <v>15</v>
      </c>
      <c r="M6" s="8" t="s">
        <v>26</v>
      </c>
      <c r="N6" s="8" t="s">
        <v>15</v>
      </c>
      <c r="O6" s="3"/>
    </row>
    <row r="7">
      <c r="A7" s="4" t="s">
        <v>27</v>
      </c>
      <c r="B7" s="5" t="s">
        <v>28</v>
      </c>
      <c r="C7" s="5" t="s">
        <v>17</v>
      </c>
      <c r="D7" s="5" t="s">
        <v>29</v>
      </c>
      <c r="E7" s="5" t="s">
        <v>30</v>
      </c>
      <c r="F7" s="5" t="s">
        <v>26</v>
      </c>
      <c r="G7" s="5" t="s">
        <v>22</v>
      </c>
      <c r="H7" s="5" t="s">
        <v>31</v>
      </c>
      <c r="I7" s="5" t="s">
        <v>20</v>
      </c>
      <c r="J7" s="5" t="s">
        <v>32</v>
      </c>
      <c r="K7" s="5" t="s">
        <v>33</v>
      </c>
      <c r="L7" s="5" t="s">
        <v>15</v>
      </c>
      <c r="M7" s="5" t="s">
        <v>15</v>
      </c>
      <c r="N7" s="5" t="s">
        <v>15</v>
      </c>
      <c r="O7" s="3" t="str">
        <f>HYPERLINK("#مجمع!B" &amp; 2, "ورديات اليوم مجمعة")</f>
        <v>ورديات اليوم مجمعة</v>
      </c>
    </row>
    <row r="8">
      <c r="A8" s="6"/>
      <c r="B8" s="5" t="s">
        <v>15</v>
      </c>
      <c r="C8" s="5" t="s">
        <v>15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15</v>
      </c>
      <c r="I8" s="5" t="s">
        <v>15</v>
      </c>
      <c r="J8" s="5" t="s">
        <v>38</v>
      </c>
      <c r="K8" s="5" t="s">
        <v>39</v>
      </c>
      <c r="L8" s="5" t="s">
        <v>15</v>
      </c>
      <c r="M8" s="5" t="s">
        <v>15</v>
      </c>
      <c r="N8" s="5" t="s">
        <v>15</v>
      </c>
      <c r="O8" s="3"/>
    </row>
    <row r="9">
      <c r="A9" s="6"/>
      <c r="B9" s="5" t="s">
        <v>15</v>
      </c>
      <c r="C9" s="5" t="s">
        <v>15</v>
      </c>
      <c r="D9" s="5" t="s">
        <v>40</v>
      </c>
      <c r="E9" s="5" t="s">
        <v>41</v>
      </c>
      <c r="F9" s="5" t="s">
        <v>23</v>
      </c>
      <c r="G9" s="5" t="s">
        <v>42</v>
      </c>
      <c r="H9" s="5" t="s">
        <v>15</v>
      </c>
      <c r="I9" s="5" t="s">
        <v>15</v>
      </c>
      <c r="J9" s="5" t="s">
        <v>43</v>
      </c>
      <c r="K9" s="5" t="s">
        <v>44</v>
      </c>
      <c r="L9" s="5" t="s">
        <v>15</v>
      </c>
      <c r="M9" s="5" t="s">
        <v>15</v>
      </c>
      <c r="N9" s="5" t="s">
        <v>15</v>
      </c>
      <c r="O9" s="3"/>
    </row>
    <row r="10">
      <c r="A10" s="6"/>
      <c r="B10" s="5" t="s">
        <v>15</v>
      </c>
      <c r="C10" s="5" t="s">
        <v>15</v>
      </c>
      <c r="D10" s="5" t="s">
        <v>45</v>
      </c>
      <c r="E10" s="5" t="s">
        <v>46</v>
      </c>
      <c r="F10" s="5" t="s">
        <v>47</v>
      </c>
      <c r="G10" s="5" t="s">
        <v>48</v>
      </c>
      <c r="H10" s="5" t="s">
        <v>15</v>
      </c>
      <c r="I10" s="5" t="s">
        <v>15</v>
      </c>
      <c r="J10" s="5" t="s">
        <v>49</v>
      </c>
      <c r="K10" s="5" t="s">
        <v>50</v>
      </c>
      <c r="L10" s="5" t="s">
        <v>15</v>
      </c>
      <c r="M10" s="5" t="s">
        <v>15</v>
      </c>
      <c r="N10" s="5" t="s">
        <v>15</v>
      </c>
      <c r="O10" s="3"/>
    </row>
    <row r="11">
      <c r="A11" s="6"/>
      <c r="B11" s="5" t="s">
        <v>15</v>
      </c>
      <c r="C11" s="5" t="s">
        <v>15</v>
      </c>
      <c r="D11" s="5" t="s">
        <v>51</v>
      </c>
      <c r="E11" s="5" t="s">
        <v>52</v>
      </c>
      <c r="F11" s="5" t="s">
        <v>53</v>
      </c>
      <c r="G11" s="5" t="s">
        <v>54</v>
      </c>
      <c r="H11" s="5" t="s">
        <v>15</v>
      </c>
      <c r="I11" s="5" t="s">
        <v>15</v>
      </c>
      <c r="J11" s="5" t="s">
        <v>55</v>
      </c>
      <c r="K11" s="5" t="s">
        <v>49</v>
      </c>
      <c r="L11" s="5" t="s">
        <v>15</v>
      </c>
      <c r="M11" s="5" t="s">
        <v>15</v>
      </c>
      <c r="N11" s="5" t="s">
        <v>15</v>
      </c>
      <c r="O11" s="3"/>
    </row>
    <row r="12">
      <c r="A12" s="6"/>
      <c r="B12" s="5" t="s">
        <v>15</v>
      </c>
      <c r="C12" s="5" t="s">
        <v>15</v>
      </c>
      <c r="D12" s="5" t="s">
        <v>56</v>
      </c>
      <c r="E12" s="5" t="s">
        <v>57</v>
      </c>
      <c r="F12" s="5" t="s">
        <v>58</v>
      </c>
      <c r="G12" s="5" t="s">
        <v>59</v>
      </c>
      <c r="H12" s="5" t="s">
        <v>15</v>
      </c>
      <c r="I12" s="5" t="s">
        <v>15</v>
      </c>
      <c r="J12" s="5" t="s">
        <v>60</v>
      </c>
      <c r="K12" s="5" t="s">
        <v>55</v>
      </c>
      <c r="L12" s="5" t="s">
        <v>15</v>
      </c>
      <c r="M12" s="5" t="s">
        <v>15</v>
      </c>
      <c r="N12" s="5" t="s">
        <v>15</v>
      </c>
      <c r="O12" s="3"/>
    </row>
    <row r="13">
      <c r="A13" s="6"/>
      <c r="B13" s="5" t="s">
        <v>15</v>
      </c>
      <c r="C13" s="5" t="s">
        <v>15</v>
      </c>
      <c r="D13" s="5" t="s">
        <v>61</v>
      </c>
      <c r="E13" s="5" t="s">
        <v>62</v>
      </c>
      <c r="F13" s="5" t="s">
        <v>63</v>
      </c>
      <c r="G13" s="5" t="s">
        <v>64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3"/>
    </row>
    <row r="14">
      <c r="A14" s="6"/>
      <c r="B14" s="5" t="s">
        <v>15</v>
      </c>
      <c r="C14" s="5" t="s">
        <v>15</v>
      </c>
      <c r="D14" s="5" t="s">
        <v>65</v>
      </c>
      <c r="E14" s="5" t="s">
        <v>25</v>
      </c>
      <c r="F14" s="5" t="s">
        <v>16</v>
      </c>
      <c r="G14" s="5" t="s">
        <v>21</v>
      </c>
      <c r="H14" s="5" t="s">
        <v>15</v>
      </c>
      <c r="I14" s="5" t="s">
        <v>15</v>
      </c>
      <c r="J14" s="5" t="s">
        <v>15</v>
      </c>
      <c r="K14" s="5" t="s">
        <v>15</v>
      </c>
      <c r="L14" s="5" t="s">
        <v>15</v>
      </c>
      <c r="M14" s="5" t="s">
        <v>15</v>
      </c>
      <c r="N14" s="5" t="s">
        <v>15</v>
      </c>
      <c r="O14" s="3"/>
    </row>
    <row r="15">
      <c r="A15" s="6"/>
      <c r="B15" s="5" t="s">
        <v>15</v>
      </c>
      <c r="C15" s="5" t="s">
        <v>15</v>
      </c>
      <c r="D15" s="5" t="s">
        <v>66</v>
      </c>
      <c r="E15" s="5" t="s">
        <v>67</v>
      </c>
      <c r="F15" s="5" t="s">
        <v>68</v>
      </c>
      <c r="G15" s="5" t="s">
        <v>69</v>
      </c>
      <c r="H15" s="5" t="s">
        <v>15</v>
      </c>
      <c r="I15" s="5" t="s">
        <v>15</v>
      </c>
      <c r="J15" s="5" t="s">
        <v>15</v>
      </c>
      <c r="K15" s="5" t="s">
        <v>15</v>
      </c>
      <c r="L15" s="5" t="s">
        <v>15</v>
      </c>
      <c r="M15" s="5" t="s">
        <v>15</v>
      </c>
      <c r="N15" s="5" t="s">
        <v>15</v>
      </c>
      <c r="O15" s="3"/>
    </row>
    <row r="16">
      <c r="A16" s="7"/>
      <c r="B16" s="8" t="s">
        <v>15</v>
      </c>
      <c r="C16" s="8" t="s">
        <v>15</v>
      </c>
      <c r="D16" s="8" t="s">
        <v>70</v>
      </c>
      <c r="E16" s="8" t="s">
        <v>15</v>
      </c>
      <c r="F16" s="8" t="s">
        <v>15</v>
      </c>
      <c r="G16" s="8" t="s">
        <v>15</v>
      </c>
      <c r="H16" s="8" t="s">
        <v>15</v>
      </c>
      <c r="I16" s="8" t="s">
        <v>15</v>
      </c>
      <c r="J16" s="8" t="s">
        <v>15</v>
      </c>
      <c r="K16" s="8" t="s">
        <v>15</v>
      </c>
      <c r="L16" s="8" t="s">
        <v>15</v>
      </c>
      <c r="M16" s="8" t="s">
        <v>15</v>
      </c>
      <c r="N16" s="8" t="s">
        <v>15</v>
      </c>
      <c r="O16" s="3"/>
    </row>
    <row r="17">
      <c r="A17" s="4" t="s">
        <v>71</v>
      </c>
      <c r="B17" s="5" t="s">
        <v>15</v>
      </c>
      <c r="C17" s="5" t="s">
        <v>15</v>
      </c>
      <c r="D17" s="5" t="s">
        <v>15</v>
      </c>
      <c r="E17" s="5" t="s">
        <v>15</v>
      </c>
      <c r="F17" s="5" t="s">
        <v>15</v>
      </c>
      <c r="G17" s="5" t="s">
        <v>15</v>
      </c>
      <c r="H17" s="5" t="s">
        <v>15</v>
      </c>
      <c r="I17" s="5" t="s">
        <v>15</v>
      </c>
      <c r="J17" s="5" t="s">
        <v>15</v>
      </c>
      <c r="K17" s="5" t="s">
        <v>15</v>
      </c>
      <c r="L17" s="5" t="s">
        <v>15</v>
      </c>
      <c r="M17" s="5" t="s">
        <v>72</v>
      </c>
      <c r="N17" s="5" t="s">
        <v>55</v>
      </c>
      <c r="O17" s="3" t="str">
        <f>HYPERLINK("#مجمع!B" &amp; 3, "ورديات اليوم مجمعة")</f>
        <v>ورديات اليوم مجمعة</v>
      </c>
    </row>
    <row r="18">
      <c r="A18" s="6"/>
      <c r="B18" s="5" t="s">
        <v>15</v>
      </c>
      <c r="C18" s="5" t="s">
        <v>15</v>
      </c>
      <c r="D18" s="5" t="s">
        <v>15</v>
      </c>
      <c r="E18" s="5" t="s">
        <v>15</v>
      </c>
      <c r="F18" s="5" t="s">
        <v>15</v>
      </c>
      <c r="G18" s="5" t="s">
        <v>15</v>
      </c>
      <c r="H18" s="5" t="s">
        <v>15</v>
      </c>
      <c r="I18" s="5" t="s">
        <v>15</v>
      </c>
      <c r="J18" s="5" t="s">
        <v>15</v>
      </c>
      <c r="K18" s="5" t="s">
        <v>15</v>
      </c>
      <c r="L18" s="5" t="s">
        <v>15</v>
      </c>
      <c r="M18" s="5" t="s">
        <v>36</v>
      </c>
      <c r="N18" s="5" t="s">
        <v>73</v>
      </c>
      <c r="O18" s="3"/>
    </row>
    <row r="19">
      <c r="A19" s="6"/>
      <c r="B19" s="5" t="s">
        <v>15</v>
      </c>
      <c r="C19" s="5" t="s">
        <v>15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5" t="s">
        <v>15</v>
      </c>
      <c r="M19" s="5" t="s">
        <v>74</v>
      </c>
      <c r="N19" s="5" t="s">
        <v>21</v>
      </c>
      <c r="O19" s="3"/>
    </row>
    <row r="20">
      <c r="A20" s="6"/>
      <c r="B20" s="5" t="s">
        <v>15</v>
      </c>
      <c r="C20" s="5" t="s">
        <v>15</v>
      </c>
      <c r="D20" s="5" t="s">
        <v>15</v>
      </c>
      <c r="E20" s="5" t="s">
        <v>15</v>
      </c>
      <c r="F20" s="5" t="s">
        <v>15</v>
      </c>
      <c r="G20" s="5" t="s">
        <v>15</v>
      </c>
      <c r="H20" s="5" t="s">
        <v>15</v>
      </c>
      <c r="I20" s="5" t="s">
        <v>15</v>
      </c>
      <c r="J20" s="5" t="s">
        <v>15</v>
      </c>
      <c r="K20" s="5" t="s">
        <v>15</v>
      </c>
      <c r="L20" s="5" t="s">
        <v>15</v>
      </c>
      <c r="M20" s="5" t="s">
        <v>53</v>
      </c>
      <c r="N20" s="5" t="s">
        <v>52</v>
      </c>
      <c r="O20" s="3"/>
    </row>
    <row r="21" ht="15.75" customHeight="1">
      <c r="A21" s="6"/>
      <c r="B21" s="5" t="s">
        <v>15</v>
      </c>
      <c r="C21" s="5" t="s">
        <v>15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19</v>
      </c>
      <c r="N21" s="5" t="s">
        <v>50</v>
      </c>
      <c r="O21" s="3"/>
    </row>
    <row r="22" ht="15.75" customHeight="1">
      <c r="A22" s="6"/>
      <c r="B22" s="5" t="s">
        <v>15</v>
      </c>
      <c r="C22" s="5" t="s">
        <v>15</v>
      </c>
      <c r="D22" s="5" t="s">
        <v>15</v>
      </c>
      <c r="E22" s="5" t="s">
        <v>15</v>
      </c>
      <c r="F22" s="5" t="s">
        <v>15</v>
      </c>
      <c r="G22" s="5" t="s">
        <v>15</v>
      </c>
      <c r="H22" s="5" t="s">
        <v>15</v>
      </c>
      <c r="I22" s="5" t="s">
        <v>15</v>
      </c>
      <c r="J22" s="5" t="s">
        <v>15</v>
      </c>
      <c r="K22" s="5" t="s">
        <v>15</v>
      </c>
      <c r="L22" s="5" t="s">
        <v>15</v>
      </c>
      <c r="M22" s="5" t="s">
        <v>75</v>
      </c>
      <c r="N22" s="5" t="s">
        <v>15</v>
      </c>
      <c r="O22" s="3"/>
    </row>
    <row r="23" ht="15.75" customHeight="1">
      <c r="A23" s="6"/>
      <c r="B23" s="5" t="s">
        <v>15</v>
      </c>
      <c r="C23" s="5" t="s">
        <v>15</v>
      </c>
      <c r="D23" s="5" t="s">
        <v>15</v>
      </c>
      <c r="E23" s="5" t="s">
        <v>15</v>
      </c>
      <c r="F23" s="5" t="s">
        <v>15</v>
      </c>
      <c r="G23" s="5" t="s">
        <v>15</v>
      </c>
      <c r="H23" s="5" t="s">
        <v>15</v>
      </c>
      <c r="I23" s="5" t="s">
        <v>15</v>
      </c>
      <c r="J23" s="5" t="s">
        <v>15</v>
      </c>
      <c r="K23" s="5" t="s">
        <v>15</v>
      </c>
      <c r="L23" s="5" t="s">
        <v>15</v>
      </c>
      <c r="M23" s="5" t="s">
        <v>60</v>
      </c>
      <c r="N23" s="5" t="s">
        <v>15</v>
      </c>
      <c r="O23" s="3"/>
    </row>
    <row r="24" ht="15.75" customHeight="1">
      <c r="A24" s="7"/>
      <c r="B24" s="8" t="s">
        <v>15</v>
      </c>
      <c r="C24" s="8" t="s">
        <v>15</v>
      </c>
      <c r="D24" s="8" t="s">
        <v>15</v>
      </c>
      <c r="E24" s="8" t="s">
        <v>15</v>
      </c>
      <c r="F24" s="8" t="s">
        <v>15</v>
      </c>
      <c r="G24" s="8" t="s">
        <v>15</v>
      </c>
      <c r="H24" s="8" t="s">
        <v>15</v>
      </c>
      <c r="I24" s="8" t="s">
        <v>15</v>
      </c>
      <c r="J24" s="8" t="s">
        <v>15</v>
      </c>
      <c r="K24" s="8" t="s">
        <v>15</v>
      </c>
      <c r="L24" s="8" t="s">
        <v>15</v>
      </c>
      <c r="M24" s="8" t="s">
        <v>61</v>
      </c>
      <c r="N24" s="8" t="s">
        <v>15</v>
      </c>
      <c r="O24" s="3"/>
    </row>
    <row r="25" ht="15.75" customHeight="1">
      <c r="A25" s="4" t="s">
        <v>76</v>
      </c>
      <c r="B25" s="5" t="s">
        <v>15</v>
      </c>
      <c r="C25" s="5" t="s">
        <v>15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15</v>
      </c>
      <c r="I25" s="5" t="s">
        <v>15</v>
      </c>
      <c r="J25" s="5" t="s">
        <v>15</v>
      </c>
      <c r="K25" s="5" t="s">
        <v>15</v>
      </c>
      <c r="L25" s="5" t="s">
        <v>18</v>
      </c>
      <c r="M25" s="5" t="s">
        <v>40</v>
      </c>
      <c r="N25" s="5" t="s">
        <v>33</v>
      </c>
      <c r="O25" s="3" t="str">
        <f>HYPERLINK("#مجمع!B" &amp; 4, "ورديات اليوم مجمعة")</f>
        <v>ورديات اليوم مجمعة</v>
      </c>
    </row>
    <row r="26" ht="15.75" customHeight="1">
      <c r="A26" s="6"/>
      <c r="B26" s="5" t="s">
        <v>15</v>
      </c>
      <c r="C26" s="5" t="s">
        <v>15</v>
      </c>
      <c r="D26" s="5" t="s">
        <v>15</v>
      </c>
      <c r="E26" s="5" t="s">
        <v>15</v>
      </c>
      <c r="F26" s="5" t="s">
        <v>15</v>
      </c>
      <c r="G26" s="5" t="s">
        <v>15</v>
      </c>
      <c r="H26" s="5" t="s">
        <v>15</v>
      </c>
      <c r="I26" s="5" t="s">
        <v>15</v>
      </c>
      <c r="J26" s="5" t="s">
        <v>15</v>
      </c>
      <c r="K26" s="5" t="s">
        <v>15</v>
      </c>
      <c r="L26" s="5" t="s">
        <v>75</v>
      </c>
      <c r="M26" s="5" t="s">
        <v>58</v>
      </c>
      <c r="N26" s="5" t="s">
        <v>41</v>
      </c>
      <c r="O26" s="3"/>
    </row>
    <row r="27" ht="15.75" customHeight="1">
      <c r="A27" s="6"/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  <c r="I27" s="5" t="s">
        <v>15</v>
      </c>
      <c r="J27" s="5" t="s">
        <v>15</v>
      </c>
      <c r="K27" s="5" t="s">
        <v>15</v>
      </c>
      <c r="L27" s="5" t="s">
        <v>43</v>
      </c>
      <c r="M27" s="5" t="s">
        <v>77</v>
      </c>
      <c r="N27" s="5" t="s">
        <v>30</v>
      </c>
      <c r="O27" s="3"/>
    </row>
    <row r="28" ht="15.75" customHeight="1">
      <c r="A28" s="6"/>
      <c r="B28" s="5" t="s">
        <v>15</v>
      </c>
      <c r="C28" s="5" t="s">
        <v>15</v>
      </c>
      <c r="D28" s="5" t="s">
        <v>15</v>
      </c>
      <c r="E28" s="5" t="s">
        <v>15</v>
      </c>
      <c r="F28" s="5" t="s">
        <v>15</v>
      </c>
      <c r="G28" s="5" t="s">
        <v>15</v>
      </c>
      <c r="H28" s="5" t="s">
        <v>15</v>
      </c>
      <c r="I28" s="5" t="s">
        <v>15</v>
      </c>
      <c r="J28" s="5" t="s">
        <v>15</v>
      </c>
      <c r="K28" s="5" t="s">
        <v>15</v>
      </c>
      <c r="L28" s="5" t="s">
        <v>15</v>
      </c>
      <c r="M28" s="5" t="s">
        <v>54</v>
      </c>
      <c r="N28" s="5" t="s">
        <v>44</v>
      </c>
      <c r="O28" s="3"/>
    </row>
    <row r="29" ht="15.75" customHeight="1">
      <c r="A29" s="6"/>
      <c r="B29" s="5" t="s">
        <v>15</v>
      </c>
      <c r="C29" s="5" t="s">
        <v>15</v>
      </c>
      <c r="D29" s="5" t="s">
        <v>15</v>
      </c>
      <c r="E29" s="5" t="s">
        <v>15</v>
      </c>
      <c r="F29" s="5" t="s">
        <v>15</v>
      </c>
      <c r="G29" s="5" t="s">
        <v>15</v>
      </c>
      <c r="H29" s="5" t="s">
        <v>15</v>
      </c>
      <c r="I29" s="5" t="s">
        <v>15</v>
      </c>
      <c r="J29" s="5" t="s">
        <v>15</v>
      </c>
      <c r="K29" s="5" t="s">
        <v>15</v>
      </c>
      <c r="L29" s="5" t="s">
        <v>15</v>
      </c>
      <c r="M29" s="5" t="s">
        <v>47</v>
      </c>
      <c r="N29" s="5" t="s">
        <v>15</v>
      </c>
      <c r="O29" s="3"/>
    </row>
    <row r="30" ht="15.75" customHeight="1">
      <c r="A30" s="7"/>
      <c r="B30" s="8" t="s">
        <v>15</v>
      </c>
      <c r="C30" s="8" t="s">
        <v>15</v>
      </c>
      <c r="D30" s="8" t="s">
        <v>15</v>
      </c>
      <c r="E30" s="8" t="s">
        <v>15</v>
      </c>
      <c r="F30" s="8" t="s">
        <v>15</v>
      </c>
      <c r="G30" s="8" t="s">
        <v>15</v>
      </c>
      <c r="H30" s="8" t="s">
        <v>15</v>
      </c>
      <c r="I30" s="8" t="s">
        <v>15</v>
      </c>
      <c r="J30" s="8" t="s">
        <v>15</v>
      </c>
      <c r="K30" s="8" t="s">
        <v>15</v>
      </c>
      <c r="L30" s="8" t="s">
        <v>15</v>
      </c>
      <c r="M30" s="8" t="s">
        <v>69</v>
      </c>
      <c r="N30" s="8" t="s">
        <v>15</v>
      </c>
      <c r="O30" s="3"/>
    </row>
    <row r="31" ht="15.75" customHeight="1">
      <c r="A31" s="4" t="s">
        <v>78</v>
      </c>
      <c r="B31" s="5" t="s">
        <v>15</v>
      </c>
      <c r="C31" s="5" t="s">
        <v>15</v>
      </c>
      <c r="D31" s="5" t="s">
        <v>15</v>
      </c>
      <c r="E31" s="5" t="s">
        <v>15</v>
      </c>
      <c r="F31" s="5" t="s">
        <v>15</v>
      </c>
      <c r="G31" s="5" t="s">
        <v>15</v>
      </c>
      <c r="H31" s="5" t="s">
        <v>15</v>
      </c>
      <c r="I31" s="5" t="s">
        <v>15</v>
      </c>
      <c r="J31" s="5" t="s">
        <v>15</v>
      </c>
      <c r="K31" s="5" t="s">
        <v>15</v>
      </c>
      <c r="L31" s="5" t="s">
        <v>15</v>
      </c>
      <c r="M31" s="5" t="s">
        <v>79</v>
      </c>
      <c r="N31" s="5" t="s">
        <v>33</v>
      </c>
      <c r="O31" s="3" t="str">
        <f>HYPERLINK("#مجمع!B" &amp; 5, "ورديات اليوم مجمعة")</f>
        <v>ورديات اليوم مجمعة</v>
      </c>
    </row>
    <row r="32" ht="15.75" customHeight="1">
      <c r="A32" s="6"/>
      <c r="B32" s="5" t="s">
        <v>15</v>
      </c>
      <c r="C32" s="5" t="s">
        <v>15</v>
      </c>
      <c r="D32" s="5" t="s">
        <v>15</v>
      </c>
      <c r="E32" s="5" t="s">
        <v>15</v>
      </c>
      <c r="F32" s="5" t="s">
        <v>15</v>
      </c>
      <c r="G32" s="5" t="s">
        <v>15</v>
      </c>
      <c r="H32" s="5" t="s">
        <v>15</v>
      </c>
      <c r="I32" s="5" t="s">
        <v>15</v>
      </c>
      <c r="J32" s="5" t="s">
        <v>15</v>
      </c>
      <c r="K32" s="5" t="s">
        <v>15</v>
      </c>
      <c r="L32" s="5" t="s">
        <v>15</v>
      </c>
      <c r="M32" s="5" t="s">
        <v>28</v>
      </c>
      <c r="N32" s="5" t="s">
        <v>80</v>
      </c>
      <c r="O32" s="3"/>
    </row>
    <row r="33" ht="15.75" customHeight="1">
      <c r="A33" s="6"/>
      <c r="B33" s="5" t="s">
        <v>15</v>
      </c>
      <c r="C33" s="5" t="s">
        <v>15</v>
      </c>
      <c r="D33" s="5" t="s">
        <v>15</v>
      </c>
      <c r="E33" s="5" t="s">
        <v>15</v>
      </c>
      <c r="F33" s="5" t="s">
        <v>15</v>
      </c>
      <c r="G33" s="5" t="s">
        <v>15</v>
      </c>
      <c r="H33" s="5" t="s">
        <v>15</v>
      </c>
      <c r="I33" s="5" t="s">
        <v>15</v>
      </c>
      <c r="J33" s="5" t="s">
        <v>15</v>
      </c>
      <c r="K33" s="5" t="s">
        <v>15</v>
      </c>
      <c r="L33" s="5" t="s">
        <v>15</v>
      </c>
      <c r="M33" s="5" t="s">
        <v>51</v>
      </c>
      <c r="N33" s="5" t="s">
        <v>37</v>
      </c>
      <c r="O33" s="3"/>
    </row>
    <row r="34" ht="15.75" customHeight="1">
      <c r="A34" s="6"/>
      <c r="B34" s="5" t="s">
        <v>15</v>
      </c>
      <c r="C34" s="5" t="s">
        <v>15</v>
      </c>
      <c r="D34" s="5" t="s">
        <v>15</v>
      </c>
      <c r="E34" s="5" t="s">
        <v>15</v>
      </c>
      <c r="F34" s="5" t="s">
        <v>15</v>
      </c>
      <c r="G34" s="5" t="s">
        <v>15</v>
      </c>
      <c r="H34" s="5" t="s">
        <v>15</v>
      </c>
      <c r="I34" s="5" t="s">
        <v>15</v>
      </c>
      <c r="J34" s="5" t="s">
        <v>15</v>
      </c>
      <c r="K34" s="5" t="s">
        <v>15</v>
      </c>
      <c r="L34" s="5" t="s">
        <v>15</v>
      </c>
      <c r="M34" s="5" t="s">
        <v>68</v>
      </c>
      <c r="N34" s="5" t="s">
        <v>44</v>
      </c>
      <c r="O34" s="3"/>
    </row>
    <row r="35" ht="15.75" customHeight="1">
      <c r="A35" s="6"/>
      <c r="B35" s="5" t="s">
        <v>15</v>
      </c>
      <c r="C35" s="5" t="s">
        <v>15</v>
      </c>
      <c r="D35" s="5" t="s">
        <v>15</v>
      </c>
      <c r="E35" s="5" t="s">
        <v>15</v>
      </c>
      <c r="F35" s="5" t="s">
        <v>15</v>
      </c>
      <c r="G35" s="5" t="s">
        <v>15</v>
      </c>
      <c r="H35" s="5" t="s">
        <v>15</v>
      </c>
      <c r="I35" s="5" t="s">
        <v>15</v>
      </c>
      <c r="J35" s="5" t="s">
        <v>15</v>
      </c>
      <c r="K35" s="5" t="s">
        <v>15</v>
      </c>
      <c r="L35" s="5" t="s">
        <v>15</v>
      </c>
      <c r="M35" s="5" t="s">
        <v>56</v>
      </c>
      <c r="N35" s="5" t="s">
        <v>15</v>
      </c>
      <c r="O35" s="3"/>
    </row>
    <row r="36" ht="15.75" customHeight="1">
      <c r="A36" s="7"/>
      <c r="B36" s="8" t="s">
        <v>15</v>
      </c>
      <c r="C36" s="8" t="s">
        <v>15</v>
      </c>
      <c r="D36" s="8" t="s">
        <v>15</v>
      </c>
      <c r="E36" s="8" t="s">
        <v>15</v>
      </c>
      <c r="F36" s="8" t="s">
        <v>15</v>
      </c>
      <c r="G36" s="8" t="s">
        <v>15</v>
      </c>
      <c r="H36" s="8" t="s">
        <v>15</v>
      </c>
      <c r="I36" s="8" t="s">
        <v>15</v>
      </c>
      <c r="J36" s="8" t="s">
        <v>15</v>
      </c>
      <c r="K36" s="8" t="s">
        <v>15</v>
      </c>
      <c r="L36" s="8" t="s">
        <v>15</v>
      </c>
      <c r="M36" s="8" t="s">
        <v>66</v>
      </c>
      <c r="N36" s="8" t="s">
        <v>15</v>
      </c>
      <c r="O36" s="3"/>
    </row>
    <row r="37" ht="15.75" customHeight="1">
      <c r="A37" s="4" t="s">
        <v>81</v>
      </c>
      <c r="B37" s="5" t="s">
        <v>15</v>
      </c>
      <c r="C37" s="5" t="s">
        <v>15</v>
      </c>
      <c r="D37" s="5" t="s">
        <v>15</v>
      </c>
      <c r="E37" s="5" t="s">
        <v>15</v>
      </c>
      <c r="F37" s="5" t="s">
        <v>15</v>
      </c>
      <c r="G37" s="5" t="s">
        <v>15</v>
      </c>
      <c r="H37" s="5" t="s">
        <v>15</v>
      </c>
      <c r="I37" s="5" t="s">
        <v>15</v>
      </c>
      <c r="J37" s="5" t="s">
        <v>15</v>
      </c>
      <c r="K37" s="5" t="s">
        <v>15</v>
      </c>
      <c r="L37" s="5" t="s">
        <v>15</v>
      </c>
      <c r="M37" s="5" t="s">
        <v>63</v>
      </c>
      <c r="N37" s="5" t="s">
        <v>50</v>
      </c>
      <c r="O37" s="3" t="str">
        <f>HYPERLINK("#مجمع!B" &amp; 6, "ورديات اليوم مجمعة")</f>
        <v>ورديات اليوم مجمعة</v>
      </c>
    </row>
    <row r="38" ht="15.75" customHeight="1">
      <c r="A38" s="6"/>
      <c r="B38" s="5" t="s">
        <v>15</v>
      </c>
      <c r="C38" s="5" t="s">
        <v>15</v>
      </c>
      <c r="D38" s="5" t="s">
        <v>15</v>
      </c>
      <c r="E38" s="5" t="s">
        <v>15</v>
      </c>
      <c r="F38" s="5" t="s">
        <v>15</v>
      </c>
      <c r="G38" s="5" t="s">
        <v>15</v>
      </c>
      <c r="H38" s="5" t="s">
        <v>15</v>
      </c>
      <c r="I38" s="5" t="s">
        <v>15</v>
      </c>
      <c r="J38" s="5" t="s">
        <v>15</v>
      </c>
      <c r="K38" s="5" t="s">
        <v>15</v>
      </c>
      <c r="L38" s="5" t="s">
        <v>15</v>
      </c>
      <c r="M38" s="5" t="s">
        <v>75</v>
      </c>
      <c r="N38" s="5" t="s">
        <v>82</v>
      </c>
      <c r="O38" s="3"/>
    </row>
    <row r="39" ht="15.75" customHeight="1">
      <c r="A39" s="6"/>
      <c r="B39" s="5" t="s">
        <v>15</v>
      </c>
      <c r="C39" s="5" t="s">
        <v>15</v>
      </c>
      <c r="D39" s="5" t="s">
        <v>15</v>
      </c>
      <c r="E39" s="5" t="s">
        <v>15</v>
      </c>
      <c r="F39" s="5" t="s">
        <v>15</v>
      </c>
      <c r="G39" s="5" t="s">
        <v>15</v>
      </c>
      <c r="H39" s="5" t="s">
        <v>15</v>
      </c>
      <c r="I39" s="5" t="s">
        <v>15</v>
      </c>
      <c r="J39" s="5" t="s">
        <v>15</v>
      </c>
      <c r="K39" s="5" t="s">
        <v>15</v>
      </c>
      <c r="L39" s="5" t="s">
        <v>15</v>
      </c>
      <c r="M39" s="5" t="s">
        <v>46</v>
      </c>
      <c r="N39" s="5" t="s">
        <v>62</v>
      </c>
      <c r="O39" s="3"/>
    </row>
    <row r="40" ht="15.75" customHeight="1">
      <c r="A40" s="6"/>
      <c r="B40" s="5" t="s">
        <v>15</v>
      </c>
      <c r="C40" s="5" t="s">
        <v>15</v>
      </c>
      <c r="D40" s="5" t="s">
        <v>15</v>
      </c>
      <c r="E40" s="5" t="s">
        <v>15</v>
      </c>
      <c r="F40" s="5" t="s">
        <v>15</v>
      </c>
      <c r="G40" s="5" t="s">
        <v>15</v>
      </c>
      <c r="H40" s="5" t="s">
        <v>15</v>
      </c>
      <c r="I40" s="5" t="s">
        <v>15</v>
      </c>
      <c r="J40" s="5" t="s">
        <v>15</v>
      </c>
      <c r="K40" s="5" t="s">
        <v>15</v>
      </c>
      <c r="L40" s="5" t="s">
        <v>15</v>
      </c>
      <c r="M40" s="5" t="s">
        <v>72</v>
      </c>
      <c r="N40" s="5" t="s">
        <v>15</v>
      </c>
      <c r="O40" s="3"/>
    </row>
    <row r="41" ht="15.75" customHeight="1">
      <c r="A41" s="7"/>
      <c r="B41" s="8" t="s">
        <v>15</v>
      </c>
      <c r="C41" s="8" t="s">
        <v>15</v>
      </c>
      <c r="D41" s="8" t="s">
        <v>15</v>
      </c>
      <c r="E41" s="8" t="s">
        <v>15</v>
      </c>
      <c r="F41" s="8" t="s">
        <v>15</v>
      </c>
      <c r="G41" s="8" t="s">
        <v>15</v>
      </c>
      <c r="H41" s="8" t="s">
        <v>15</v>
      </c>
      <c r="I41" s="8" t="s">
        <v>15</v>
      </c>
      <c r="J41" s="8" t="s">
        <v>15</v>
      </c>
      <c r="K41" s="8" t="s">
        <v>15</v>
      </c>
      <c r="L41" s="8" t="s">
        <v>15</v>
      </c>
      <c r="M41" s="8" t="s">
        <v>20</v>
      </c>
      <c r="N41" s="8" t="s">
        <v>15</v>
      </c>
      <c r="O41" s="3"/>
    </row>
    <row r="42" ht="15.75" customHeight="1">
      <c r="A42" s="4" t="s">
        <v>83</v>
      </c>
      <c r="B42" s="5" t="s">
        <v>15</v>
      </c>
      <c r="C42" s="5" t="s">
        <v>15</v>
      </c>
      <c r="D42" s="5" t="s">
        <v>15</v>
      </c>
      <c r="E42" s="5" t="s">
        <v>15</v>
      </c>
      <c r="F42" s="5" t="s">
        <v>15</v>
      </c>
      <c r="G42" s="5" t="s">
        <v>15</v>
      </c>
      <c r="H42" s="5" t="s">
        <v>15</v>
      </c>
      <c r="I42" s="5" t="s">
        <v>15</v>
      </c>
      <c r="J42" s="5" t="s">
        <v>15</v>
      </c>
      <c r="K42" s="5" t="s">
        <v>15</v>
      </c>
      <c r="L42" s="5" t="s">
        <v>15</v>
      </c>
      <c r="M42" s="5" t="s">
        <v>67</v>
      </c>
      <c r="N42" s="5" t="s">
        <v>39</v>
      </c>
      <c r="O42" s="3" t="str">
        <f>HYPERLINK("#مجمع!B" &amp; 7, "ورديات اليوم مجمعة")</f>
        <v>ورديات اليوم مجمعة</v>
      </c>
    </row>
    <row r="43" ht="15.75" customHeight="1">
      <c r="A43" s="6"/>
      <c r="B43" s="5" t="s">
        <v>15</v>
      </c>
      <c r="C43" s="5" t="s">
        <v>15</v>
      </c>
      <c r="D43" s="5" t="s">
        <v>15</v>
      </c>
      <c r="E43" s="5" t="s">
        <v>15</v>
      </c>
      <c r="F43" s="5" t="s">
        <v>15</v>
      </c>
      <c r="G43" s="5" t="s">
        <v>15</v>
      </c>
      <c r="H43" s="5" t="s">
        <v>15</v>
      </c>
      <c r="I43" s="5" t="s">
        <v>15</v>
      </c>
      <c r="J43" s="5" t="s">
        <v>15</v>
      </c>
      <c r="K43" s="5" t="s">
        <v>15</v>
      </c>
      <c r="L43" s="5" t="s">
        <v>15</v>
      </c>
      <c r="M43" s="5" t="s">
        <v>84</v>
      </c>
      <c r="N43" s="5" t="s">
        <v>44</v>
      </c>
      <c r="O43" s="3"/>
    </row>
    <row r="44" ht="15.75" customHeight="1">
      <c r="A44" s="6"/>
      <c r="B44" s="5" t="s">
        <v>15</v>
      </c>
      <c r="C44" s="5" t="s">
        <v>15</v>
      </c>
      <c r="D44" s="5" t="s">
        <v>15</v>
      </c>
      <c r="E44" s="5" t="s">
        <v>15</v>
      </c>
      <c r="F44" s="5" t="s">
        <v>15</v>
      </c>
      <c r="G44" s="5" t="s">
        <v>15</v>
      </c>
      <c r="H44" s="5" t="s">
        <v>15</v>
      </c>
      <c r="I44" s="5" t="s">
        <v>15</v>
      </c>
      <c r="J44" s="5" t="s">
        <v>15</v>
      </c>
      <c r="K44" s="5" t="s">
        <v>15</v>
      </c>
      <c r="L44" s="5" t="s">
        <v>15</v>
      </c>
      <c r="M44" s="5" t="s">
        <v>32</v>
      </c>
      <c r="N44" s="5" t="s">
        <v>69</v>
      </c>
      <c r="O44" s="3"/>
    </row>
    <row r="45" ht="15.75" customHeight="1">
      <c r="A45" s="7"/>
      <c r="B45" s="8" t="s">
        <v>15</v>
      </c>
      <c r="C45" s="8" t="s">
        <v>15</v>
      </c>
      <c r="D45" s="8" t="s">
        <v>15</v>
      </c>
      <c r="E45" s="8" t="s">
        <v>15</v>
      </c>
      <c r="F45" s="8" t="s">
        <v>15</v>
      </c>
      <c r="G45" s="8" t="s">
        <v>15</v>
      </c>
      <c r="H45" s="8" t="s">
        <v>15</v>
      </c>
      <c r="I45" s="8" t="s">
        <v>15</v>
      </c>
      <c r="J45" s="8" t="s">
        <v>15</v>
      </c>
      <c r="K45" s="8" t="s">
        <v>15</v>
      </c>
      <c r="L45" s="8" t="s">
        <v>15</v>
      </c>
      <c r="M45" s="8" t="s">
        <v>59</v>
      </c>
      <c r="N45" s="8"/>
      <c r="O45" s="3"/>
    </row>
    <row r="46" ht="15.75" customHeight="1">
      <c r="A46" s="4" t="s">
        <v>85</v>
      </c>
      <c r="B46" s="5" t="s">
        <v>15</v>
      </c>
      <c r="C46" s="5" t="s">
        <v>15</v>
      </c>
      <c r="D46" s="5" t="s">
        <v>15</v>
      </c>
      <c r="E46" s="5" t="s">
        <v>15</v>
      </c>
      <c r="F46" s="5" t="s">
        <v>15</v>
      </c>
      <c r="G46" s="5" t="s">
        <v>15</v>
      </c>
      <c r="H46" s="5" t="s">
        <v>15</v>
      </c>
      <c r="I46" s="5" t="s">
        <v>15</v>
      </c>
      <c r="J46" s="5" t="s">
        <v>15</v>
      </c>
      <c r="K46" s="5" t="s">
        <v>15</v>
      </c>
      <c r="L46" s="5" t="s">
        <v>47</v>
      </c>
      <c r="M46" s="5" t="s">
        <v>25</v>
      </c>
      <c r="N46" s="5" t="s">
        <v>41</v>
      </c>
      <c r="O46" s="3" t="str">
        <f>HYPERLINK("#مجمع!B" &amp; 8, "ورديات اليوم مجمعة")</f>
        <v>ورديات اليوم مجمعة</v>
      </c>
    </row>
    <row r="47" ht="15.75" customHeight="1">
      <c r="A47" s="6"/>
      <c r="B47" s="5" t="s">
        <v>15</v>
      </c>
      <c r="C47" s="5" t="s">
        <v>15</v>
      </c>
      <c r="D47" s="5" t="s">
        <v>15</v>
      </c>
      <c r="E47" s="5" t="s">
        <v>15</v>
      </c>
      <c r="F47" s="5" t="s">
        <v>15</v>
      </c>
      <c r="G47" s="5" t="s">
        <v>15</v>
      </c>
      <c r="H47" s="5" t="s">
        <v>15</v>
      </c>
      <c r="I47" s="5" t="s">
        <v>15</v>
      </c>
      <c r="J47" s="5" t="s">
        <v>15</v>
      </c>
      <c r="K47" s="5" t="s">
        <v>15</v>
      </c>
      <c r="L47" s="5" t="s">
        <v>35</v>
      </c>
      <c r="M47" s="5" t="s">
        <v>23</v>
      </c>
      <c r="N47" s="5" t="s">
        <v>54</v>
      </c>
      <c r="O47" s="3"/>
    </row>
    <row r="48" ht="15.75" customHeight="1">
      <c r="A48" s="6"/>
      <c r="B48" s="5" t="s">
        <v>15</v>
      </c>
      <c r="C48" s="5" t="s">
        <v>15</v>
      </c>
      <c r="D48" s="5" t="s">
        <v>15</v>
      </c>
      <c r="E48" s="5" t="s">
        <v>15</v>
      </c>
      <c r="F48" s="5" t="s">
        <v>15</v>
      </c>
      <c r="G48" s="5" t="s">
        <v>15</v>
      </c>
      <c r="H48" s="5" t="s">
        <v>15</v>
      </c>
      <c r="I48" s="5" t="s">
        <v>15</v>
      </c>
      <c r="J48" s="5" t="s">
        <v>15</v>
      </c>
      <c r="K48" s="5" t="s">
        <v>15</v>
      </c>
      <c r="L48" s="5" t="s">
        <v>29</v>
      </c>
      <c r="M48" s="5" t="s">
        <v>45</v>
      </c>
      <c r="N48" s="5" t="s">
        <v>24</v>
      </c>
      <c r="O48" s="3"/>
    </row>
    <row r="49" ht="15.75" customHeight="1">
      <c r="A49" s="6"/>
      <c r="B49" s="5" t="s">
        <v>15</v>
      </c>
      <c r="C49" s="5" t="s">
        <v>15</v>
      </c>
      <c r="D49" s="5" t="s">
        <v>15</v>
      </c>
      <c r="E49" s="5" t="s">
        <v>15</v>
      </c>
      <c r="F49" s="5" t="s">
        <v>15</v>
      </c>
      <c r="G49" s="5" t="s">
        <v>15</v>
      </c>
      <c r="H49" s="5" t="s">
        <v>15</v>
      </c>
      <c r="I49" s="5" t="s">
        <v>15</v>
      </c>
      <c r="J49" s="5" t="s">
        <v>15</v>
      </c>
      <c r="K49" s="5" t="s">
        <v>15</v>
      </c>
      <c r="L49" s="5" t="s">
        <v>15</v>
      </c>
      <c r="M49" s="5" t="s">
        <v>69</v>
      </c>
      <c r="N49" s="5" t="s">
        <v>15</v>
      </c>
      <c r="O49" s="3"/>
    </row>
    <row r="50" ht="15.75" customHeight="1">
      <c r="A50" s="7"/>
      <c r="B50" s="8" t="s">
        <v>15</v>
      </c>
      <c r="C50" s="8" t="s">
        <v>15</v>
      </c>
      <c r="D50" s="8" t="s">
        <v>15</v>
      </c>
      <c r="E50" s="8" t="s">
        <v>15</v>
      </c>
      <c r="F50" s="8" t="s">
        <v>15</v>
      </c>
      <c r="G50" s="8" t="s">
        <v>15</v>
      </c>
      <c r="H50" s="8" t="s">
        <v>15</v>
      </c>
      <c r="I50" s="8" t="s">
        <v>15</v>
      </c>
      <c r="J50" s="8" t="s">
        <v>15</v>
      </c>
      <c r="K50" s="8" t="s">
        <v>15</v>
      </c>
      <c r="L50" s="8" t="s">
        <v>15</v>
      </c>
      <c r="M50" s="8" t="s">
        <v>19</v>
      </c>
      <c r="N50" s="8" t="s">
        <v>15</v>
      </c>
      <c r="O50" s="3"/>
    </row>
    <row r="51" ht="15.75" customHeight="1">
      <c r="A51" s="4" t="s">
        <v>86</v>
      </c>
      <c r="B51" s="5" t="s">
        <v>24</v>
      </c>
      <c r="C51" s="5" t="s">
        <v>53</v>
      </c>
      <c r="D51" s="5" t="s">
        <v>31</v>
      </c>
      <c r="E51" s="5" t="s">
        <v>30</v>
      </c>
      <c r="F51" s="5" t="s">
        <v>36</v>
      </c>
      <c r="G51" s="5" t="s">
        <v>28</v>
      </c>
      <c r="H51" s="5" t="s">
        <v>77</v>
      </c>
      <c r="I51" s="5" t="s">
        <v>20</v>
      </c>
      <c r="J51" s="5" t="s">
        <v>38</v>
      </c>
      <c r="K51" s="5" t="s">
        <v>33</v>
      </c>
      <c r="L51" s="5" t="s">
        <v>15</v>
      </c>
      <c r="M51" s="5" t="s">
        <v>15</v>
      </c>
      <c r="N51" s="5" t="s">
        <v>15</v>
      </c>
      <c r="O51" s="3" t="str">
        <f>HYPERLINK("#مجمع!B" &amp; 9, "ورديات اليوم مجمعة")</f>
        <v>ورديات اليوم مجمعة</v>
      </c>
    </row>
    <row r="52" ht="15.75" customHeight="1">
      <c r="A52" s="6"/>
      <c r="B52" s="5" t="s">
        <v>15</v>
      </c>
      <c r="C52" s="5" t="s">
        <v>15</v>
      </c>
      <c r="D52" s="5" t="s">
        <v>58</v>
      </c>
      <c r="E52" s="5" t="s">
        <v>57</v>
      </c>
      <c r="F52" s="5" t="s">
        <v>65</v>
      </c>
      <c r="G52" s="5" t="s">
        <v>37</v>
      </c>
      <c r="H52" s="5" t="s">
        <v>15</v>
      </c>
      <c r="I52" s="5" t="s">
        <v>15</v>
      </c>
      <c r="J52" s="5" t="s">
        <v>40</v>
      </c>
      <c r="K52" s="5" t="s">
        <v>39</v>
      </c>
      <c r="L52" s="5" t="s">
        <v>15</v>
      </c>
      <c r="M52" s="5" t="s">
        <v>15</v>
      </c>
      <c r="N52" s="5" t="s">
        <v>15</v>
      </c>
      <c r="O52" s="3"/>
    </row>
    <row r="53" ht="15.75" customHeight="1">
      <c r="A53" s="6"/>
      <c r="B53" s="5" t="s">
        <v>15</v>
      </c>
      <c r="C53" s="5" t="s">
        <v>15</v>
      </c>
      <c r="D53" s="5" t="s">
        <v>66</v>
      </c>
      <c r="E53" s="5" t="s">
        <v>32</v>
      </c>
      <c r="F53" s="5" t="s">
        <v>23</v>
      </c>
      <c r="G53" s="5" t="s">
        <v>16</v>
      </c>
      <c r="H53" s="5" t="s">
        <v>15</v>
      </c>
      <c r="I53" s="5" t="s">
        <v>15</v>
      </c>
      <c r="J53" s="5" t="s">
        <v>72</v>
      </c>
      <c r="K53" s="5" t="s">
        <v>21</v>
      </c>
      <c r="L53" s="5" t="s">
        <v>15</v>
      </c>
      <c r="M53" s="5" t="s">
        <v>15</v>
      </c>
      <c r="N53" s="5" t="s">
        <v>15</v>
      </c>
      <c r="O53" s="3"/>
    </row>
    <row r="54" ht="15.75" customHeight="1">
      <c r="A54" s="6"/>
      <c r="B54" s="5" t="s">
        <v>15</v>
      </c>
      <c r="C54" s="5" t="s">
        <v>15</v>
      </c>
      <c r="D54" s="5" t="s">
        <v>51</v>
      </c>
      <c r="E54" s="5" t="s">
        <v>25</v>
      </c>
      <c r="F54" s="5" t="s">
        <v>68</v>
      </c>
      <c r="G54" s="5" t="s">
        <v>22</v>
      </c>
      <c r="H54" s="5" t="s">
        <v>15</v>
      </c>
      <c r="I54" s="5" t="s">
        <v>15</v>
      </c>
      <c r="J54" s="5" t="s">
        <v>55</v>
      </c>
      <c r="K54" s="5" t="s">
        <v>44</v>
      </c>
      <c r="L54" s="5" t="s">
        <v>15</v>
      </c>
      <c r="M54" s="5" t="s">
        <v>15</v>
      </c>
      <c r="N54" s="5" t="s">
        <v>15</v>
      </c>
      <c r="O54" s="3"/>
    </row>
    <row r="55" ht="15.75" customHeight="1">
      <c r="A55" s="6"/>
      <c r="B55" s="5" t="s">
        <v>15</v>
      </c>
      <c r="C55" s="5" t="s">
        <v>15</v>
      </c>
      <c r="D55" s="5" t="s">
        <v>56</v>
      </c>
      <c r="E55" s="5" t="s">
        <v>67</v>
      </c>
      <c r="F55" s="5" t="s">
        <v>34</v>
      </c>
      <c r="G55" s="5" t="s">
        <v>46</v>
      </c>
      <c r="H55" s="5" t="s">
        <v>15</v>
      </c>
      <c r="I55" s="5" t="s">
        <v>15</v>
      </c>
      <c r="J55" s="5" t="s">
        <v>49</v>
      </c>
      <c r="K55" s="5" t="s">
        <v>49</v>
      </c>
      <c r="L55" s="5" t="s">
        <v>15</v>
      </c>
      <c r="M55" s="5" t="s">
        <v>15</v>
      </c>
      <c r="N55" s="5" t="s">
        <v>15</v>
      </c>
      <c r="O55" s="3"/>
    </row>
    <row r="56" ht="15.75" customHeight="1">
      <c r="A56" s="6"/>
      <c r="B56" s="5" t="s">
        <v>15</v>
      </c>
      <c r="C56" s="5" t="s">
        <v>15</v>
      </c>
      <c r="D56" s="5" t="s">
        <v>45</v>
      </c>
      <c r="E56" s="5" t="s">
        <v>29</v>
      </c>
      <c r="F56" s="5" t="s">
        <v>18</v>
      </c>
      <c r="G56" s="5" t="s">
        <v>54</v>
      </c>
      <c r="H56" s="5" t="s">
        <v>15</v>
      </c>
      <c r="I56" s="5" t="s">
        <v>15</v>
      </c>
      <c r="J56" s="5" t="s">
        <v>41</v>
      </c>
      <c r="K56" s="5" t="s">
        <v>42</v>
      </c>
      <c r="L56" s="5" t="s">
        <v>15</v>
      </c>
      <c r="M56" s="5" t="s">
        <v>15</v>
      </c>
      <c r="N56" s="5" t="s">
        <v>15</v>
      </c>
      <c r="O56" s="3"/>
    </row>
    <row r="57" ht="15.75" customHeight="1">
      <c r="A57" s="6"/>
      <c r="B57" s="5" t="s">
        <v>15</v>
      </c>
      <c r="C57" s="5" t="s">
        <v>15</v>
      </c>
      <c r="D57" s="5" t="s">
        <v>26</v>
      </c>
      <c r="E57" s="5" t="s">
        <v>50</v>
      </c>
      <c r="F57" s="5" t="s">
        <v>73</v>
      </c>
      <c r="G57" s="5" t="s">
        <v>52</v>
      </c>
      <c r="H57" s="5" t="s">
        <v>15</v>
      </c>
      <c r="I57" s="5" t="s">
        <v>15</v>
      </c>
      <c r="J57" s="5" t="s">
        <v>15</v>
      </c>
      <c r="K57" s="5" t="s">
        <v>15</v>
      </c>
      <c r="L57" s="5" t="s">
        <v>15</v>
      </c>
      <c r="M57" s="5" t="s">
        <v>15</v>
      </c>
      <c r="N57" s="5" t="s">
        <v>15</v>
      </c>
      <c r="O57" s="3"/>
    </row>
    <row r="58" ht="15.75" customHeight="1">
      <c r="A58" s="6"/>
      <c r="B58" s="5" t="s">
        <v>15</v>
      </c>
      <c r="C58" s="5" t="s">
        <v>15</v>
      </c>
      <c r="D58" s="5" t="s">
        <v>61</v>
      </c>
      <c r="E58" s="5" t="s">
        <v>35</v>
      </c>
      <c r="F58" s="5" t="s">
        <v>47</v>
      </c>
      <c r="G58" s="5" t="s">
        <v>69</v>
      </c>
      <c r="H58" s="5" t="s">
        <v>15</v>
      </c>
      <c r="I58" s="5" t="s">
        <v>15</v>
      </c>
      <c r="J58" s="5" t="s">
        <v>15</v>
      </c>
      <c r="K58" s="5" t="s">
        <v>15</v>
      </c>
      <c r="L58" s="5" t="s">
        <v>15</v>
      </c>
      <c r="M58" s="5" t="s">
        <v>15</v>
      </c>
      <c r="N58" s="5" t="s">
        <v>15</v>
      </c>
      <c r="O58" s="3"/>
    </row>
    <row r="59" ht="15.75" customHeight="1">
      <c r="A59" s="6"/>
      <c r="B59" s="5" t="s">
        <v>15</v>
      </c>
      <c r="C59" s="5" t="s">
        <v>15</v>
      </c>
      <c r="D59" s="5" t="s">
        <v>79</v>
      </c>
      <c r="E59" s="5" t="s">
        <v>62</v>
      </c>
      <c r="F59" s="5" t="s">
        <v>19</v>
      </c>
      <c r="G59" s="5" t="s">
        <v>70</v>
      </c>
      <c r="H59" s="5" t="s">
        <v>15</v>
      </c>
      <c r="I59" s="5" t="s">
        <v>15</v>
      </c>
      <c r="J59" s="5" t="s">
        <v>15</v>
      </c>
      <c r="K59" s="5" t="s">
        <v>15</v>
      </c>
      <c r="L59" s="5" t="s">
        <v>15</v>
      </c>
      <c r="M59" s="5" t="s">
        <v>15</v>
      </c>
      <c r="N59" s="5" t="s">
        <v>15</v>
      </c>
      <c r="O59" s="3"/>
    </row>
    <row r="60" ht="15.75" customHeight="1">
      <c r="A60" s="7"/>
      <c r="B60" s="8" t="s">
        <v>15</v>
      </c>
      <c r="C60" s="8" t="s">
        <v>15</v>
      </c>
      <c r="D60" s="8" t="s">
        <v>87</v>
      </c>
      <c r="E60" s="8" t="s">
        <v>15</v>
      </c>
      <c r="F60" s="8" t="s">
        <v>15</v>
      </c>
      <c r="G60" s="8" t="s">
        <v>15</v>
      </c>
      <c r="H60" s="8" t="s">
        <v>15</v>
      </c>
      <c r="I60" s="8" t="s">
        <v>15</v>
      </c>
      <c r="J60" s="8" t="s">
        <v>15</v>
      </c>
      <c r="K60" s="8" t="s">
        <v>15</v>
      </c>
      <c r="L60" s="8" t="s">
        <v>15</v>
      </c>
      <c r="M60" s="8" t="s">
        <v>15</v>
      </c>
      <c r="N60" s="8" t="s">
        <v>15</v>
      </c>
      <c r="O60" s="3"/>
    </row>
    <row r="61" ht="15.75" customHeight="1">
      <c r="A61" s="4" t="s">
        <v>88</v>
      </c>
      <c r="B61" s="5" t="s">
        <v>15</v>
      </c>
      <c r="C61" s="5" t="s">
        <v>15</v>
      </c>
      <c r="D61" s="5" t="s">
        <v>15</v>
      </c>
      <c r="E61" s="5" t="s">
        <v>15</v>
      </c>
      <c r="F61" s="5" t="s">
        <v>15</v>
      </c>
      <c r="G61" s="5" t="s">
        <v>15</v>
      </c>
      <c r="H61" s="5" t="s">
        <v>15</v>
      </c>
      <c r="I61" s="5" t="s">
        <v>15</v>
      </c>
      <c r="J61" s="5" t="s">
        <v>15</v>
      </c>
      <c r="K61" s="5" t="s">
        <v>15</v>
      </c>
      <c r="L61" s="5" t="s">
        <v>15</v>
      </c>
      <c r="M61" s="5" t="s">
        <v>53</v>
      </c>
      <c r="N61" s="5" t="s">
        <v>57</v>
      </c>
      <c r="O61" s="3" t="str">
        <f>HYPERLINK("#مجمع!B" &amp; 10, "ورديات اليوم مجمعة")</f>
        <v>ورديات اليوم مجمعة</v>
      </c>
    </row>
    <row r="62" ht="15.75" customHeight="1">
      <c r="A62" s="6"/>
      <c r="B62" s="5" t="s">
        <v>15</v>
      </c>
      <c r="C62" s="5" t="s">
        <v>15</v>
      </c>
      <c r="D62" s="5" t="s">
        <v>15</v>
      </c>
      <c r="E62" s="5" t="s">
        <v>15</v>
      </c>
      <c r="F62" s="5" t="s">
        <v>15</v>
      </c>
      <c r="G62" s="5" t="s">
        <v>15</v>
      </c>
      <c r="H62" s="5" t="s">
        <v>15</v>
      </c>
      <c r="I62" s="5" t="s">
        <v>15</v>
      </c>
      <c r="J62" s="5" t="s">
        <v>15</v>
      </c>
      <c r="K62" s="5" t="s">
        <v>15</v>
      </c>
      <c r="L62" s="5" t="s">
        <v>15</v>
      </c>
      <c r="M62" s="5" t="s">
        <v>72</v>
      </c>
      <c r="N62" s="5" t="s">
        <v>18</v>
      </c>
      <c r="O62" s="3"/>
    </row>
    <row r="63" ht="15.75" customHeight="1">
      <c r="A63" s="6"/>
      <c r="B63" s="5" t="s">
        <v>15</v>
      </c>
      <c r="C63" s="5" t="s">
        <v>15</v>
      </c>
      <c r="D63" s="5" t="s">
        <v>15</v>
      </c>
      <c r="E63" s="5" t="s">
        <v>15</v>
      </c>
      <c r="F63" s="5" t="s">
        <v>15</v>
      </c>
      <c r="G63" s="5" t="s">
        <v>15</v>
      </c>
      <c r="H63" s="5" t="s">
        <v>15</v>
      </c>
      <c r="I63" s="5" t="s">
        <v>15</v>
      </c>
      <c r="J63" s="5" t="s">
        <v>15</v>
      </c>
      <c r="K63" s="5" t="s">
        <v>15</v>
      </c>
      <c r="L63" s="5" t="s">
        <v>15</v>
      </c>
      <c r="M63" s="5" t="s">
        <v>19</v>
      </c>
      <c r="N63" s="5" t="s">
        <v>73</v>
      </c>
      <c r="O63" s="3"/>
    </row>
    <row r="64" ht="15.75" customHeight="1">
      <c r="A64" s="6"/>
      <c r="B64" s="5" t="s">
        <v>15</v>
      </c>
      <c r="C64" s="5" t="s">
        <v>15</v>
      </c>
      <c r="D64" s="5" t="s">
        <v>15</v>
      </c>
      <c r="E64" s="5" t="s">
        <v>15</v>
      </c>
      <c r="F64" s="5" t="s">
        <v>15</v>
      </c>
      <c r="G64" s="5" t="s">
        <v>15</v>
      </c>
      <c r="H64" s="5" t="s">
        <v>15</v>
      </c>
      <c r="I64" s="5" t="s">
        <v>15</v>
      </c>
      <c r="J64" s="5" t="s">
        <v>15</v>
      </c>
      <c r="K64" s="5" t="s">
        <v>15</v>
      </c>
      <c r="L64" s="5" t="s">
        <v>15</v>
      </c>
      <c r="M64" s="5" t="s">
        <v>74</v>
      </c>
      <c r="N64" s="5" t="s">
        <v>45</v>
      </c>
      <c r="O64" s="3"/>
    </row>
    <row r="65" ht="15.75" customHeight="1">
      <c r="A65" s="6"/>
      <c r="B65" s="5" t="s">
        <v>15</v>
      </c>
      <c r="C65" s="5" t="s">
        <v>15</v>
      </c>
      <c r="D65" s="5" t="s">
        <v>15</v>
      </c>
      <c r="E65" s="5" t="s">
        <v>15</v>
      </c>
      <c r="F65" s="5" t="s">
        <v>15</v>
      </c>
      <c r="G65" s="5" t="s">
        <v>15</v>
      </c>
      <c r="H65" s="5" t="s">
        <v>15</v>
      </c>
      <c r="I65" s="5" t="s">
        <v>15</v>
      </c>
      <c r="J65" s="5" t="s">
        <v>15</v>
      </c>
      <c r="K65" s="5" t="s">
        <v>15</v>
      </c>
      <c r="L65" s="5" t="s">
        <v>15</v>
      </c>
      <c r="M65" s="5" t="s">
        <v>47</v>
      </c>
      <c r="N65" s="5" t="s">
        <v>55</v>
      </c>
      <c r="O65" s="3"/>
    </row>
    <row r="66" ht="15.75" customHeight="1">
      <c r="A66" s="6"/>
      <c r="B66" s="5" t="s">
        <v>15</v>
      </c>
      <c r="C66" s="5" t="s">
        <v>15</v>
      </c>
      <c r="D66" s="5" t="s">
        <v>15</v>
      </c>
      <c r="E66" s="5" t="s">
        <v>15</v>
      </c>
      <c r="F66" s="5" t="s">
        <v>15</v>
      </c>
      <c r="G66" s="5" t="s">
        <v>15</v>
      </c>
      <c r="H66" s="5" t="s">
        <v>15</v>
      </c>
      <c r="I66" s="5" t="s">
        <v>15</v>
      </c>
      <c r="J66" s="5" t="s">
        <v>15</v>
      </c>
      <c r="K66" s="5" t="s">
        <v>15</v>
      </c>
      <c r="L66" s="5" t="s">
        <v>15</v>
      </c>
      <c r="M66" s="5" t="s">
        <v>38</v>
      </c>
      <c r="N66" s="5" t="s">
        <v>15</v>
      </c>
      <c r="O66" s="3"/>
    </row>
    <row r="67" ht="15.75" customHeight="1">
      <c r="A67" s="6"/>
      <c r="B67" s="5" t="s">
        <v>15</v>
      </c>
      <c r="C67" s="5" t="s">
        <v>15</v>
      </c>
      <c r="D67" s="5" t="s">
        <v>15</v>
      </c>
      <c r="E67" s="5" t="s">
        <v>15</v>
      </c>
      <c r="F67" s="5" t="s">
        <v>15</v>
      </c>
      <c r="G67" s="5" t="s">
        <v>15</v>
      </c>
      <c r="H67" s="5" t="s">
        <v>15</v>
      </c>
      <c r="I67" s="5" t="s">
        <v>15</v>
      </c>
      <c r="J67" s="5" t="s">
        <v>15</v>
      </c>
      <c r="K67" s="5" t="s">
        <v>15</v>
      </c>
      <c r="L67" s="5" t="s">
        <v>15</v>
      </c>
      <c r="M67" s="5" t="s">
        <v>26</v>
      </c>
      <c r="N67" s="5" t="s">
        <v>15</v>
      </c>
      <c r="O67" s="3"/>
    </row>
    <row r="68" ht="15.75" customHeight="1">
      <c r="A68" s="7"/>
      <c r="B68" s="8" t="s">
        <v>15</v>
      </c>
      <c r="C68" s="8" t="s">
        <v>15</v>
      </c>
      <c r="D68" s="8" t="s">
        <v>15</v>
      </c>
      <c r="E68" s="8" t="s">
        <v>15</v>
      </c>
      <c r="F68" s="8" t="s">
        <v>15</v>
      </c>
      <c r="G68" s="8" t="s">
        <v>15</v>
      </c>
      <c r="H68" s="8" t="s">
        <v>15</v>
      </c>
      <c r="I68" s="8" t="s">
        <v>15</v>
      </c>
      <c r="J68" s="8" t="s">
        <v>15</v>
      </c>
      <c r="K68" s="8" t="s">
        <v>15</v>
      </c>
      <c r="L68" s="8" t="s">
        <v>15</v>
      </c>
      <c r="M68" s="8" t="s">
        <v>79</v>
      </c>
      <c r="N68" s="8" t="s">
        <v>15</v>
      </c>
      <c r="O68" s="3"/>
    </row>
    <row r="69" ht="15.75" customHeight="1">
      <c r="A69" s="4" t="s">
        <v>89</v>
      </c>
      <c r="B69" s="5" t="s">
        <v>15</v>
      </c>
      <c r="C69" s="5" t="s">
        <v>15</v>
      </c>
      <c r="D69" s="5" t="s">
        <v>15</v>
      </c>
      <c r="E69" s="5" t="s">
        <v>15</v>
      </c>
      <c r="F69" s="5" t="s">
        <v>15</v>
      </c>
      <c r="G69" s="5" t="s">
        <v>15</v>
      </c>
      <c r="H69" s="5" t="s">
        <v>15</v>
      </c>
      <c r="I69" s="5" t="s">
        <v>15</v>
      </c>
      <c r="J69" s="5" t="s">
        <v>15</v>
      </c>
      <c r="K69" s="5" t="s">
        <v>15</v>
      </c>
      <c r="L69" s="5" t="s">
        <v>54</v>
      </c>
      <c r="M69" s="5" t="s">
        <v>40</v>
      </c>
      <c r="N69" s="5" t="s">
        <v>30</v>
      </c>
      <c r="O69" s="3" t="str">
        <f>HYPERLINK("#مجمع!B" &amp; 11, "ورديات اليوم مجمعة")</f>
        <v>ورديات اليوم مجمعة</v>
      </c>
    </row>
    <row r="70" ht="15.75" customHeight="1">
      <c r="A70" s="6"/>
      <c r="B70" s="5" t="s">
        <v>15</v>
      </c>
      <c r="C70" s="5" t="s">
        <v>15</v>
      </c>
      <c r="D70" s="5" t="s">
        <v>15</v>
      </c>
      <c r="E70" s="5" t="s">
        <v>15</v>
      </c>
      <c r="F70" s="5" t="s">
        <v>15</v>
      </c>
      <c r="G70" s="5" t="s">
        <v>15</v>
      </c>
      <c r="H70" s="5" t="s">
        <v>15</v>
      </c>
      <c r="I70" s="5" t="s">
        <v>15</v>
      </c>
      <c r="J70" s="5" t="s">
        <v>15</v>
      </c>
      <c r="K70" s="5" t="s">
        <v>15</v>
      </c>
      <c r="L70" s="5" t="s">
        <v>46</v>
      </c>
      <c r="M70" s="5" t="s">
        <v>58</v>
      </c>
      <c r="N70" s="5" t="s">
        <v>42</v>
      </c>
      <c r="O70" s="3"/>
    </row>
    <row r="71" ht="15.75" customHeight="1">
      <c r="A71" s="6"/>
      <c r="B71" s="5" t="s">
        <v>15</v>
      </c>
      <c r="C71" s="5" t="s">
        <v>15</v>
      </c>
      <c r="D71" s="5" t="s">
        <v>15</v>
      </c>
      <c r="E71" s="5" t="s">
        <v>15</v>
      </c>
      <c r="F71" s="5" t="s">
        <v>15</v>
      </c>
      <c r="G71" s="5" t="s">
        <v>15</v>
      </c>
      <c r="H71" s="5" t="s">
        <v>15</v>
      </c>
      <c r="I71" s="5" t="s">
        <v>15</v>
      </c>
      <c r="J71" s="5" t="s">
        <v>15</v>
      </c>
      <c r="K71" s="5" t="s">
        <v>15</v>
      </c>
      <c r="L71" s="5" t="s">
        <v>84</v>
      </c>
      <c r="M71" s="5" t="s">
        <v>26</v>
      </c>
      <c r="N71" s="5" t="s">
        <v>16</v>
      </c>
      <c r="O71" s="3"/>
    </row>
    <row r="72" ht="15.75" customHeight="1">
      <c r="A72" s="6"/>
      <c r="B72" s="5" t="s">
        <v>15</v>
      </c>
      <c r="C72" s="5" t="s">
        <v>15</v>
      </c>
      <c r="D72" s="5" t="s">
        <v>15</v>
      </c>
      <c r="E72" s="5" t="s">
        <v>15</v>
      </c>
      <c r="F72" s="5" t="s">
        <v>15</v>
      </c>
      <c r="G72" s="5" t="s">
        <v>15</v>
      </c>
      <c r="H72" s="5" t="s">
        <v>15</v>
      </c>
      <c r="I72" s="5" t="s">
        <v>15</v>
      </c>
      <c r="J72" s="5" t="s">
        <v>15</v>
      </c>
      <c r="K72" s="5" t="s">
        <v>15</v>
      </c>
      <c r="L72" s="5" t="s">
        <v>15</v>
      </c>
      <c r="M72" s="5" t="s">
        <v>87</v>
      </c>
      <c r="N72" s="5" t="s">
        <v>57</v>
      </c>
      <c r="O72" s="3"/>
    </row>
    <row r="73" ht="15.75" customHeight="1">
      <c r="A73" s="6"/>
      <c r="B73" s="5" t="s">
        <v>15</v>
      </c>
      <c r="C73" s="5" t="s">
        <v>15</v>
      </c>
      <c r="D73" s="5" t="s">
        <v>15</v>
      </c>
      <c r="E73" s="5" t="s">
        <v>15</v>
      </c>
      <c r="F73" s="5" t="s">
        <v>15</v>
      </c>
      <c r="G73" s="5" t="s">
        <v>15</v>
      </c>
      <c r="H73" s="5" t="s">
        <v>15</v>
      </c>
      <c r="I73" s="5" t="s">
        <v>15</v>
      </c>
      <c r="J73" s="5" t="s">
        <v>15</v>
      </c>
      <c r="K73" s="5" t="s">
        <v>15</v>
      </c>
      <c r="L73" s="5" t="s">
        <v>15</v>
      </c>
      <c r="M73" s="5" t="s">
        <v>29</v>
      </c>
      <c r="N73" s="5" t="s">
        <v>15</v>
      </c>
      <c r="O73" s="3"/>
    </row>
    <row r="74" ht="15.75" customHeight="1">
      <c r="A74" s="7"/>
      <c r="B74" s="8" t="s">
        <v>15</v>
      </c>
      <c r="C74" s="8" t="s">
        <v>15</v>
      </c>
      <c r="D74" s="8" t="s">
        <v>15</v>
      </c>
      <c r="E74" s="8" t="s">
        <v>15</v>
      </c>
      <c r="F74" s="8" t="s">
        <v>15</v>
      </c>
      <c r="G74" s="8" t="s">
        <v>15</v>
      </c>
      <c r="H74" s="8" t="s">
        <v>15</v>
      </c>
      <c r="I74" s="8" t="s">
        <v>15</v>
      </c>
      <c r="J74" s="8" t="s">
        <v>15</v>
      </c>
      <c r="K74" s="8" t="s">
        <v>15</v>
      </c>
      <c r="L74" s="8" t="s">
        <v>15</v>
      </c>
      <c r="M74" s="8" t="s">
        <v>77</v>
      </c>
      <c r="N74" s="8" t="s">
        <v>15</v>
      </c>
      <c r="O74" s="3"/>
    </row>
    <row r="75" ht="15.75" customHeight="1">
      <c r="A75" s="4" t="s">
        <v>90</v>
      </c>
      <c r="B75" s="5" t="s">
        <v>15</v>
      </c>
      <c r="C75" s="5" t="s">
        <v>15</v>
      </c>
      <c r="D75" s="5" t="s">
        <v>15</v>
      </c>
      <c r="E75" s="5" t="s">
        <v>15</v>
      </c>
      <c r="F75" s="5" t="s">
        <v>15</v>
      </c>
      <c r="G75" s="5" t="s">
        <v>15</v>
      </c>
      <c r="H75" s="5" t="s">
        <v>15</v>
      </c>
      <c r="I75" s="5" t="s">
        <v>15</v>
      </c>
      <c r="J75" s="5" t="s">
        <v>15</v>
      </c>
      <c r="K75" s="5" t="s">
        <v>15</v>
      </c>
      <c r="L75" s="5" t="s">
        <v>15</v>
      </c>
      <c r="M75" s="5" t="s">
        <v>31</v>
      </c>
      <c r="N75" s="5" t="s">
        <v>46</v>
      </c>
      <c r="O75" s="3" t="str">
        <f>HYPERLINK("#مجمع!B" &amp; 12, "ورديات اليوم مجمعة")</f>
        <v>ورديات اليوم مجمعة</v>
      </c>
    </row>
    <row r="76" ht="15.75" customHeight="1">
      <c r="A76" s="6"/>
      <c r="B76" s="5" t="s">
        <v>15</v>
      </c>
      <c r="C76" s="5" t="s">
        <v>15</v>
      </c>
      <c r="D76" s="5" t="s">
        <v>15</v>
      </c>
      <c r="E76" s="5" t="s">
        <v>15</v>
      </c>
      <c r="F76" s="5" t="s">
        <v>15</v>
      </c>
      <c r="G76" s="5" t="s">
        <v>15</v>
      </c>
      <c r="H76" s="5" t="s">
        <v>15</v>
      </c>
      <c r="I76" s="5" t="s">
        <v>15</v>
      </c>
      <c r="J76" s="5" t="s">
        <v>15</v>
      </c>
      <c r="K76" s="5" t="s">
        <v>15</v>
      </c>
      <c r="L76" s="5" t="s">
        <v>15</v>
      </c>
      <c r="M76" s="5" t="s">
        <v>79</v>
      </c>
      <c r="N76" s="5" t="s">
        <v>80</v>
      </c>
      <c r="O76" s="3"/>
    </row>
    <row r="77" ht="15.75" customHeight="1">
      <c r="A77" s="6"/>
      <c r="B77" s="5" t="s">
        <v>15</v>
      </c>
      <c r="C77" s="5" t="s">
        <v>15</v>
      </c>
      <c r="D77" s="5" t="s">
        <v>15</v>
      </c>
      <c r="E77" s="5" t="s">
        <v>15</v>
      </c>
      <c r="F77" s="5" t="s">
        <v>15</v>
      </c>
      <c r="G77" s="5" t="s">
        <v>15</v>
      </c>
      <c r="H77" s="5" t="s">
        <v>15</v>
      </c>
      <c r="I77" s="5" t="s">
        <v>15</v>
      </c>
      <c r="J77" s="5" t="s">
        <v>15</v>
      </c>
      <c r="K77" s="5" t="s">
        <v>15</v>
      </c>
      <c r="L77" s="5" t="s">
        <v>15</v>
      </c>
      <c r="M77" s="5" t="s">
        <v>51</v>
      </c>
      <c r="N77" s="5" t="s">
        <v>22</v>
      </c>
      <c r="O77" s="3"/>
    </row>
    <row r="78" ht="15.75" customHeight="1">
      <c r="A78" s="6"/>
      <c r="B78" s="5" t="s">
        <v>15</v>
      </c>
      <c r="C78" s="5" t="s">
        <v>15</v>
      </c>
      <c r="D78" s="5" t="s">
        <v>15</v>
      </c>
      <c r="E78" s="5" t="s">
        <v>15</v>
      </c>
      <c r="F78" s="5" t="s">
        <v>15</v>
      </c>
      <c r="G78" s="5" t="s">
        <v>15</v>
      </c>
      <c r="H78" s="5" t="s">
        <v>15</v>
      </c>
      <c r="I78" s="5" t="s">
        <v>15</v>
      </c>
      <c r="J78" s="5" t="s">
        <v>15</v>
      </c>
      <c r="K78" s="5" t="s">
        <v>15</v>
      </c>
      <c r="L78" s="5" t="s">
        <v>15</v>
      </c>
      <c r="M78" s="5" t="s">
        <v>68</v>
      </c>
      <c r="N78" s="5" t="s">
        <v>37</v>
      </c>
      <c r="O78" s="3"/>
    </row>
    <row r="79" ht="15.75" customHeight="1">
      <c r="A79" s="6"/>
      <c r="B79" s="5" t="s">
        <v>15</v>
      </c>
      <c r="C79" s="5" t="s">
        <v>15</v>
      </c>
      <c r="D79" s="5" t="s">
        <v>15</v>
      </c>
      <c r="E79" s="5" t="s">
        <v>15</v>
      </c>
      <c r="F79" s="5" t="s">
        <v>15</v>
      </c>
      <c r="G79" s="5" t="s">
        <v>15</v>
      </c>
      <c r="H79" s="5" t="s">
        <v>15</v>
      </c>
      <c r="I79" s="5" t="s">
        <v>15</v>
      </c>
      <c r="J79" s="5" t="s">
        <v>15</v>
      </c>
      <c r="K79" s="5" t="s">
        <v>15</v>
      </c>
      <c r="L79" s="5" t="s">
        <v>15</v>
      </c>
      <c r="M79" s="5" t="s">
        <v>56</v>
      </c>
      <c r="N79" s="5" t="s">
        <v>15</v>
      </c>
      <c r="O79" s="3"/>
    </row>
    <row r="80" ht="15.75" customHeight="1">
      <c r="A80" s="7"/>
      <c r="B80" s="8" t="s">
        <v>15</v>
      </c>
      <c r="C80" s="8" t="s">
        <v>15</v>
      </c>
      <c r="D80" s="8" t="s">
        <v>15</v>
      </c>
      <c r="E80" s="8" t="s">
        <v>15</v>
      </c>
      <c r="F80" s="8" t="s">
        <v>15</v>
      </c>
      <c r="G80" s="8" t="s">
        <v>15</v>
      </c>
      <c r="H80" s="8" t="s">
        <v>15</v>
      </c>
      <c r="I80" s="8" t="s">
        <v>15</v>
      </c>
      <c r="J80" s="8" t="s">
        <v>15</v>
      </c>
      <c r="K80" s="8" t="s">
        <v>15</v>
      </c>
      <c r="L80" s="8" t="s">
        <v>15</v>
      </c>
      <c r="M80" s="8" t="s">
        <v>66</v>
      </c>
      <c r="N80" s="8" t="s">
        <v>15</v>
      </c>
      <c r="O80" s="3"/>
    </row>
    <row r="81" ht="15.75" customHeight="1">
      <c r="A81" s="4" t="s">
        <v>91</v>
      </c>
      <c r="B81" s="5" t="s">
        <v>15</v>
      </c>
      <c r="C81" s="5" t="s">
        <v>15</v>
      </c>
      <c r="D81" s="5" t="s">
        <v>15</v>
      </c>
      <c r="E81" s="5" t="s">
        <v>15</v>
      </c>
      <c r="F81" s="5" t="s">
        <v>15</v>
      </c>
      <c r="G81" s="5" t="s">
        <v>15</v>
      </c>
      <c r="H81" s="5" t="s">
        <v>15</v>
      </c>
      <c r="I81" s="5" t="s">
        <v>15</v>
      </c>
      <c r="J81" s="5" t="s">
        <v>15</v>
      </c>
      <c r="K81" s="5" t="s">
        <v>15</v>
      </c>
      <c r="L81" s="5" t="s">
        <v>15</v>
      </c>
      <c r="M81" s="5" t="s">
        <v>82</v>
      </c>
      <c r="N81" s="5" t="s">
        <v>52</v>
      </c>
      <c r="O81" s="3" t="str">
        <f>HYPERLINK("#مجمع!B" &amp; 13, "ورديات اليوم مجمعة")</f>
        <v>ورديات اليوم مجمعة</v>
      </c>
    </row>
    <row r="82" ht="15.75" customHeight="1">
      <c r="A82" s="6"/>
      <c r="B82" s="5" t="s">
        <v>15</v>
      </c>
      <c r="C82" s="5" t="s">
        <v>15</v>
      </c>
      <c r="D82" s="5" t="s">
        <v>15</v>
      </c>
      <c r="E82" s="5" t="s">
        <v>15</v>
      </c>
      <c r="F82" s="5" t="s">
        <v>15</v>
      </c>
      <c r="G82" s="5" t="s">
        <v>15</v>
      </c>
      <c r="H82" s="5" t="s">
        <v>15</v>
      </c>
      <c r="I82" s="5" t="s">
        <v>15</v>
      </c>
      <c r="J82" s="5" t="s">
        <v>15</v>
      </c>
      <c r="K82" s="5" t="s">
        <v>15</v>
      </c>
      <c r="L82" s="5" t="s">
        <v>15</v>
      </c>
      <c r="M82" s="5" t="s">
        <v>63</v>
      </c>
      <c r="N82" s="5" t="s">
        <v>67</v>
      </c>
      <c r="O82" s="3"/>
    </row>
    <row r="83" ht="15.75" customHeight="1">
      <c r="A83" s="6"/>
      <c r="B83" s="5" t="s">
        <v>15</v>
      </c>
      <c r="C83" s="5" t="s">
        <v>15</v>
      </c>
      <c r="D83" s="5" t="s">
        <v>15</v>
      </c>
      <c r="E83" s="5" t="s">
        <v>15</v>
      </c>
      <c r="F83" s="5" t="s">
        <v>15</v>
      </c>
      <c r="G83" s="5" t="s">
        <v>15</v>
      </c>
      <c r="H83" s="5" t="s">
        <v>15</v>
      </c>
      <c r="I83" s="5" t="s">
        <v>15</v>
      </c>
      <c r="J83" s="5" t="s">
        <v>15</v>
      </c>
      <c r="K83" s="5" t="s">
        <v>15</v>
      </c>
      <c r="L83" s="5" t="s">
        <v>15</v>
      </c>
      <c r="M83" s="5" t="s">
        <v>58</v>
      </c>
      <c r="N83" s="5" t="s">
        <v>50</v>
      </c>
      <c r="O83" s="3"/>
    </row>
    <row r="84" ht="15.75" customHeight="1">
      <c r="A84" s="6"/>
      <c r="B84" s="5" t="s">
        <v>15</v>
      </c>
      <c r="C84" s="5" t="s">
        <v>15</v>
      </c>
      <c r="D84" s="5" t="s">
        <v>15</v>
      </c>
      <c r="E84" s="5" t="s">
        <v>15</v>
      </c>
      <c r="F84" s="5" t="s">
        <v>15</v>
      </c>
      <c r="G84" s="5" t="s">
        <v>15</v>
      </c>
      <c r="H84" s="5" t="s">
        <v>15</v>
      </c>
      <c r="I84" s="5" t="s">
        <v>15</v>
      </c>
      <c r="J84" s="5" t="s">
        <v>15</v>
      </c>
      <c r="K84" s="5" t="s">
        <v>15</v>
      </c>
      <c r="L84" s="5" t="s">
        <v>15</v>
      </c>
      <c r="M84" s="5" t="s">
        <v>36</v>
      </c>
      <c r="N84" s="5" t="s">
        <v>15</v>
      </c>
      <c r="O84" s="3"/>
    </row>
    <row r="85" ht="15.75" customHeight="1">
      <c r="A85" s="7"/>
      <c r="B85" s="8" t="s">
        <v>15</v>
      </c>
      <c r="C85" s="8" t="s">
        <v>15</v>
      </c>
      <c r="D85" s="8" t="s">
        <v>15</v>
      </c>
      <c r="E85" s="8" t="s">
        <v>15</v>
      </c>
      <c r="F85" s="8" t="s">
        <v>15</v>
      </c>
      <c r="G85" s="8" t="s">
        <v>15</v>
      </c>
      <c r="H85" s="8" t="s">
        <v>15</v>
      </c>
      <c r="I85" s="8" t="s">
        <v>15</v>
      </c>
      <c r="J85" s="8" t="s">
        <v>15</v>
      </c>
      <c r="K85" s="8" t="s">
        <v>15</v>
      </c>
      <c r="L85" s="8" t="s">
        <v>15</v>
      </c>
      <c r="M85" s="8" t="s">
        <v>60</v>
      </c>
      <c r="N85" s="8" t="s">
        <v>15</v>
      </c>
      <c r="O85" s="3"/>
    </row>
    <row r="86" ht="15.75" customHeight="1">
      <c r="A86" s="4" t="s">
        <v>92</v>
      </c>
      <c r="B86" s="5" t="s">
        <v>15</v>
      </c>
      <c r="C86" s="5" t="s">
        <v>15</v>
      </c>
      <c r="D86" s="5" t="s">
        <v>15</v>
      </c>
      <c r="E86" s="5" t="s">
        <v>15</v>
      </c>
      <c r="F86" s="5" t="s">
        <v>15</v>
      </c>
      <c r="G86" s="5" t="s">
        <v>15</v>
      </c>
      <c r="H86" s="5" t="s">
        <v>15</v>
      </c>
      <c r="I86" s="5" t="s">
        <v>15</v>
      </c>
      <c r="J86" s="5" t="s">
        <v>15</v>
      </c>
      <c r="K86" s="5" t="s">
        <v>15</v>
      </c>
      <c r="L86" s="5" t="s">
        <v>15</v>
      </c>
      <c r="M86" s="5" t="s">
        <v>84</v>
      </c>
      <c r="N86" s="5" t="s">
        <v>39</v>
      </c>
      <c r="O86" s="3" t="str">
        <f>HYPERLINK("#مجمع!B" &amp; 14, "ورديات اليوم مجمعة")</f>
        <v>ورديات اليوم مجمعة</v>
      </c>
    </row>
    <row r="87" ht="15.75" customHeight="1">
      <c r="A87" s="6"/>
      <c r="B87" s="5" t="s">
        <v>15</v>
      </c>
      <c r="C87" s="5" t="s">
        <v>15</v>
      </c>
      <c r="D87" s="5" t="s">
        <v>15</v>
      </c>
      <c r="E87" s="5" t="s">
        <v>15</v>
      </c>
      <c r="F87" s="5" t="s">
        <v>15</v>
      </c>
      <c r="G87" s="5" t="s">
        <v>15</v>
      </c>
      <c r="H87" s="5" t="s">
        <v>15</v>
      </c>
      <c r="I87" s="5" t="s">
        <v>15</v>
      </c>
      <c r="J87" s="5" t="s">
        <v>15</v>
      </c>
      <c r="K87" s="5" t="s">
        <v>15</v>
      </c>
      <c r="L87" s="5" t="s">
        <v>15</v>
      </c>
      <c r="M87" s="5" t="s">
        <v>32</v>
      </c>
      <c r="N87" s="5" t="s">
        <v>29</v>
      </c>
      <c r="O87" s="3"/>
    </row>
    <row r="88" ht="15.75" customHeight="1">
      <c r="A88" s="6"/>
      <c r="B88" s="5" t="s">
        <v>15</v>
      </c>
      <c r="C88" s="5" t="s">
        <v>15</v>
      </c>
      <c r="D88" s="5" t="s">
        <v>15</v>
      </c>
      <c r="E88" s="5" t="s">
        <v>15</v>
      </c>
      <c r="F88" s="5" t="s">
        <v>15</v>
      </c>
      <c r="G88" s="5" t="s">
        <v>15</v>
      </c>
      <c r="H88" s="5" t="s">
        <v>15</v>
      </c>
      <c r="I88" s="5" t="s">
        <v>15</v>
      </c>
      <c r="J88" s="5" t="s">
        <v>15</v>
      </c>
      <c r="K88" s="5" t="s">
        <v>15</v>
      </c>
      <c r="L88" s="5" t="s">
        <v>15</v>
      </c>
      <c r="M88" s="5" t="s">
        <v>59</v>
      </c>
      <c r="N88" s="5" t="s">
        <v>35</v>
      </c>
      <c r="O88" s="3"/>
    </row>
    <row r="89" ht="15.75" customHeight="1">
      <c r="A89" s="7"/>
      <c r="B89" s="8" t="s">
        <v>15</v>
      </c>
      <c r="C89" s="8" t="s">
        <v>15</v>
      </c>
      <c r="D89" s="8" t="s">
        <v>15</v>
      </c>
      <c r="E89" s="8" t="s">
        <v>15</v>
      </c>
      <c r="F89" s="8" t="s">
        <v>15</v>
      </c>
      <c r="G89" s="8" t="s">
        <v>15</v>
      </c>
      <c r="H89" s="8" t="s">
        <v>15</v>
      </c>
      <c r="I89" s="8" t="s">
        <v>15</v>
      </c>
      <c r="J89" s="8" t="s">
        <v>15</v>
      </c>
      <c r="K89" s="8" t="s">
        <v>15</v>
      </c>
      <c r="L89" s="8" t="s">
        <v>15</v>
      </c>
      <c r="M89" s="8" t="s">
        <v>70</v>
      </c>
      <c r="N89" s="8" t="s">
        <v>28</v>
      </c>
      <c r="O89" s="3"/>
    </row>
    <row r="90" ht="15.75" customHeight="1">
      <c r="A90" s="4" t="s">
        <v>93</v>
      </c>
      <c r="B90" s="5" t="s">
        <v>15</v>
      </c>
      <c r="C90" s="5" t="s">
        <v>15</v>
      </c>
      <c r="D90" s="5" t="s">
        <v>15</v>
      </c>
      <c r="E90" s="5" t="s">
        <v>15</v>
      </c>
      <c r="F90" s="5" t="s">
        <v>15</v>
      </c>
      <c r="G90" s="5" t="s">
        <v>15</v>
      </c>
      <c r="H90" s="5" t="s">
        <v>15</v>
      </c>
      <c r="I90" s="5" t="s">
        <v>15</v>
      </c>
      <c r="J90" s="5" t="s">
        <v>15</v>
      </c>
      <c r="K90" s="5" t="s">
        <v>15</v>
      </c>
      <c r="L90" s="5" t="s">
        <v>24</v>
      </c>
      <c r="M90" s="5" t="s">
        <v>25</v>
      </c>
      <c r="N90" s="5" t="s">
        <v>64</v>
      </c>
      <c r="O90" s="3" t="str">
        <f>HYPERLINK("#مجمع!B" &amp; 15, "ورديات اليوم مجمعة")</f>
        <v>ورديات اليوم مجمعة</v>
      </c>
    </row>
    <row r="91" ht="15.75" customHeight="1">
      <c r="A91" s="6"/>
      <c r="B91" s="5" t="s">
        <v>15</v>
      </c>
      <c r="C91" s="5" t="s">
        <v>15</v>
      </c>
      <c r="D91" s="5" t="s">
        <v>15</v>
      </c>
      <c r="E91" s="5" t="s">
        <v>15</v>
      </c>
      <c r="F91" s="5" t="s">
        <v>15</v>
      </c>
      <c r="G91" s="5" t="s">
        <v>15</v>
      </c>
      <c r="H91" s="5" t="s">
        <v>15</v>
      </c>
      <c r="I91" s="5" t="s">
        <v>15</v>
      </c>
      <c r="J91" s="5" t="s">
        <v>15</v>
      </c>
      <c r="K91" s="5" t="s">
        <v>15</v>
      </c>
      <c r="L91" s="5" t="s">
        <v>21</v>
      </c>
      <c r="M91" s="5" t="s">
        <v>23</v>
      </c>
      <c r="N91" s="5" t="s">
        <v>48</v>
      </c>
      <c r="O91" s="3"/>
    </row>
    <row r="92" ht="15.75" customHeight="1">
      <c r="A92" s="6"/>
      <c r="B92" s="5" t="s">
        <v>15</v>
      </c>
      <c r="C92" s="5" t="s">
        <v>15</v>
      </c>
      <c r="D92" s="5" t="s">
        <v>15</v>
      </c>
      <c r="E92" s="5" t="s">
        <v>15</v>
      </c>
      <c r="F92" s="5" t="s">
        <v>15</v>
      </c>
      <c r="G92" s="5" t="s">
        <v>15</v>
      </c>
      <c r="H92" s="5" t="s">
        <v>15</v>
      </c>
      <c r="I92" s="5" t="s">
        <v>15</v>
      </c>
      <c r="J92" s="5" t="s">
        <v>15</v>
      </c>
      <c r="K92" s="5" t="s">
        <v>15</v>
      </c>
      <c r="L92" s="5" t="s">
        <v>66</v>
      </c>
      <c r="M92" s="5" t="s">
        <v>31</v>
      </c>
      <c r="N92" s="5" t="s">
        <v>24</v>
      </c>
      <c r="O92" s="3"/>
    </row>
    <row r="93" ht="15.75" customHeight="1">
      <c r="A93" s="6"/>
      <c r="B93" s="5" t="s">
        <v>15</v>
      </c>
      <c r="C93" s="5" t="s">
        <v>15</v>
      </c>
      <c r="D93" s="5" t="s">
        <v>15</v>
      </c>
      <c r="E93" s="5" t="s">
        <v>15</v>
      </c>
      <c r="F93" s="5" t="s">
        <v>15</v>
      </c>
      <c r="G93" s="5" t="s">
        <v>15</v>
      </c>
      <c r="H93" s="5" t="s">
        <v>15</v>
      </c>
      <c r="I93" s="5" t="s">
        <v>15</v>
      </c>
      <c r="J93" s="5" t="s">
        <v>15</v>
      </c>
      <c r="K93" s="5" t="s">
        <v>15</v>
      </c>
      <c r="L93" s="5" t="s">
        <v>15</v>
      </c>
      <c r="M93" s="5" t="s">
        <v>34</v>
      </c>
      <c r="N93" s="5" t="s">
        <v>15</v>
      </c>
      <c r="O93" s="3"/>
    </row>
    <row r="94" ht="15.75" customHeight="1">
      <c r="A94" s="7"/>
      <c r="B94" s="8" t="s">
        <v>15</v>
      </c>
      <c r="C94" s="8" t="s">
        <v>15</v>
      </c>
      <c r="D94" s="8" t="s">
        <v>15</v>
      </c>
      <c r="E94" s="8" t="s">
        <v>15</v>
      </c>
      <c r="F94" s="8" t="s">
        <v>15</v>
      </c>
      <c r="G94" s="8" t="s">
        <v>15</v>
      </c>
      <c r="H94" s="8" t="s">
        <v>15</v>
      </c>
      <c r="I94" s="8" t="s">
        <v>15</v>
      </c>
      <c r="J94" s="8" t="s">
        <v>15</v>
      </c>
      <c r="K94" s="8" t="s">
        <v>15</v>
      </c>
      <c r="L94" s="8" t="s">
        <v>15</v>
      </c>
      <c r="M94" s="8" t="s">
        <v>47</v>
      </c>
      <c r="N94" s="8" t="s">
        <v>15</v>
      </c>
      <c r="O94" s="3"/>
    </row>
    <row r="95" ht="15.75" customHeight="1">
      <c r="A95" s="4" t="s">
        <v>94</v>
      </c>
      <c r="B95" s="5" t="s">
        <v>20</v>
      </c>
      <c r="C95" s="5" t="s">
        <v>38</v>
      </c>
      <c r="D95" s="5" t="s">
        <v>65</v>
      </c>
      <c r="E95" s="5" t="s">
        <v>30</v>
      </c>
      <c r="F95" s="5" t="s">
        <v>63</v>
      </c>
      <c r="G95" s="5" t="s">
        <v>77</v>
      </c>
      <c r="H95" s="5" t="s">
        <v>53</v>
      </c>
      <c r="I95" s="5" t="s">
        <v>64</v>
      </c>
      <c r="J95" s="5" t="s">
        <v>67</v>
      </c>
      <c r="K95" s="5" t="s">
        <v>39</v>
      </c>
      <c r="L95" s="5" t="s">
        <v>15</v>
      </c>
      <c r="M95" s="5" t="s">
        <v>15</v>
      </c>
      <c r="N95" s="5" t="s">
        <v>15</v>
      </c>
      <c r="O95" s="3" t="str">
        <f>HYPERLINK("#مجمع!B" &amp; 16, "ورديات اليوم مجمعة")</f>
        <v>ورديات اليوم مجمعة</v>
      </c>
    </row>
    <row r="96" ht="15.75" customHeight="1">
      <c r="A96" s="6"/>
      <c r="B96" s="5" t="s">
        <v>15</v>
      </c>
      <c r="C96" s="5" t="s">
        <v>15</v>
      </c>
      <c r="D96" s="5" t="s">
        <v>56</v>
      </c>
      <c r="E96" s="5" t="s">
        <v>35</v>
      </c>
      <c r="F96" s="5" t="s">
        <v>47</v>
      </c>
      <c r="G96" s="5" t="s">
        <v>16</v>
      </c>
      <c r="H96" s="5" t="s">
        <v>15</v>
      </c>
      <c r="I96" s="5" t="s">
        <v>15</v>
      </c>
      <c r="J96" s="5" t="s">
        <v>72</v>
      </c>
      <c r="K96" s="5" t="s">
        <v>37</v>
      </c>
      <c r="L96" s="5" t="s">
        <v>15</v>
      </c>
      <c r="M96" s="5" t="s">
        <v>15</v>
      </c>
      <c r="N96" s="5" t="s">
        <v>15</v>
      </c>
      <c r="O96" s="3"/>
    </row>
    <row r="97" ht="15.75" customHeight="1">
      <c r="A97" s="6"/>
      <c r="B97" s="5" t="s">
        <v>15</v>
      </c>
      <c r="C97" s="5" t="s">
        <v>15</v>
      </c>
      <c r="D97" s="5" t="s">
        <v>75</v>
      </c>
      <c r="E97" s="5" t="s">
        <v>52</v>
      </c>
      <c r="F97" s="5" t="s">
        <v>73</v>
      </c>
      <c r="G97" s="5" t="s">
        <v>28</v>
      </c>
      <c r="H97" s="5" t="s">
        <v>15</v>
      </c>
      <c r="I97" s="5" t="s">
        <v>15</v>
      </c>
      <c r="J97" s="5" t="s">
        <v>40</v>
      </c>
      <c r="K97" s="5" t="s">
        <v>32</v>
      </c>
      <c r="L97" s="5" t="s">
        <v>15</v>
      </c>
      <c r="M97" s="5" t="s">
        <v>15</v>
      </c>
      <c r="N97" s="5" t="s">
        <v>15</v>
      </c>
      <c r="O97" s="3"/>
    </row>
    <row r="98" ht="15.75" customHeight="1">
      <c r="A98" s="6"/>
      <c r="B98" s="5" t="s">
        <v>15</v>
      </c>
      <c r="C98" s="5" t="s">
        <v>15</v>
      </c>
      <c r="D98" s="5" t="s">
        <v>66</v>
      </c>
      <c r="E98" s="5" t="s">
        <v>50</v>
      </c>
      <c r="F98" s="5" t="s">
        <v>34</v>
      </c>
      <c r="G98" s="5" t="s">
        <v>79</v>
      </c>
      <c r="H98" s="5" t="s">
        <v>15</v>
      </c>
      <c r="I98" s="5" t="s">
        <v>15</v>
      </c>
      <c r="J98" s="5" t="s">
        <v>70</v>
      </c>
      <c r="K98" s="5" t="s">
        <v>21</v>
      </c>
      <c r="L98" s="5" t="s">
        <v>15</v>
      </c>
      <c r="M98" s="5" t="s">
        <v>15</v>
      </c>
      <c r="N98" s="5" t="s">
        <v>15</v>
      </c>
      <c r="O98" s="3"/>
    </row>
    <row r="99" ht="15.75" customHeight="1">
      <c r="A99" s="6"/>
      <c r="B99" s="5" t="s">
        <v>15</v>
      </c>
      <c r="C99" s="5" t="s">
        <v>15</v>
      </c>
      <c r="D99" s="5" t="s">
        <v>87</v>
      </c>
      <c r="E99" s="5" t="s">
        <v>57</v>
      </c>
      <c r="F99" s="5" t="s">
        <v>29</v>
      </c>
      <c r="G99" s="5" t="s">
        <v>17</v>
      </c>
      <c r="H99" s="5" t="s">
        <v>15</v>
      </c>
      <c r="I99" s="5" t="s">
        <v>15</v>
      </c>
      <c r="J99" s="5" t="s">
        <v>49</v>
      </c>
      <c r="K99" s="5" t="s">
        <v>49</v>
      </c>
      <c r="L99" s="5" t="s">
        <v>15</v>
      </c>
      <c r="M99" s="5" t="s">
        <v>15</v>
      </c>
      <c r="N99" s="5" t="s">
        <v>15</v>
      </c>
      <c r="O99" s="3"/>
    </row>
    <row r="100" ht="15.75" customHeight="1">
      <c r="A100" s="6"/>
      <c r="B100" s="5" t="s">
        <v>15</v>
      </c>
      <c r="C100" s="5" t="s">
        <v>15</v>
      </c>
      <c r="D100" s="5" t="s">
        <v>61</v>
      </c>
      <c r="E100" s="5" t="s">
        <v>59</v>
      </c>
      <c r="F100" s="5" t="s">
        <v>26</v>
      </c>
      <c r="G100" s="5" t="s">
        <v>60</v>
      </c>
      <c r="H100" s="5" t="s">
        <v>15</v>
      </c>
      <c r="I100" s="5" t="s">
        <v>15</v>
      </c>
      <c r="J100" s="5" t="s">
        <v>51</v>
      </c>
      <c r="K100" s="5" t="s">
        <v>48</v>
      </c>
      <c r="L100" s="5" t="s">
        <v>15</v>
      </c>
      <c r="M100" s="5" t="s">
        <v>15</v>
      </c>
      <c r="N100" s="5" t="s">
        <v>15</v>
      </c>
      <c r="O100" s="3"/>
    </row>
    <row r="101" ht="15.75" customHeight="1">
      <c r="A101" s="6"/>
      <c r="B101" s="5" t="s">
        <v>15</v>
      </c>
      <c r="C101" s="5" t="s">
        <v>15</v>
      </c>
      <c r="D101" s="5" t="s">
        <v>82</v>
      </c>
      <c r="E101" s="5" t="s">
        <v>41</v>
      </c>
      <c r="F101" s="5" t="s">
        <v>18</v>
      </c>
      <c r="G101" s="5" t="s">
        <v>84</v>
      </c>
      <c r="H101" s="5" t="s">
        <v>15</v>
      </c>
      <c r="I101" s="5" t="s">
        <v>15</v>
      </c>
      <c r="J101" s="5" t="s">
        <v>15</v>
      </c>
      <c r="K101" s="5" t="s">
        <v>15</v>
      </c>
      <c r="L101" s="5" t="s">
        <v>15</v>
      </c>
      <c r="M101" s="5" t="s">
        <v>15</v>
      </c>
      <c r="N101" s="5" t="s">
        <v>15</v>
      </c>
      <c r="O101" s="3"/>
    </row>
    <row r="102" ht="15.75" customHeight="1">
      <c r="A102" s="6"/>
      <c r="B102" s="5" t="s">
        <v>15</v>
      </c>
      <c r="C102" s="5" t="s">
        <v>15</v>
      </c>
      <c r="D102" s="5" t="s">
        <v>31</v>
      </c>
      <c r="E102" s="5" t="s">
        <v>25</v>
      </c>
      <c r="F102" s="5" t="s">
        <v>68</v>
      </c>
      <c r="G102" s="5" t="s">
        <v>46</v>
      </c>
      <c r="H102" s="5" t="s">
        <v>15</v>
      </c>
      <c r="I102" s="5" t="s">
        <v>15</v>
      </c>
      <c r="J102" s="5" t="s">
        <v>15</v>
      </c>
      <c r="K102" s="5" t="s">
        <v>15</v>
      </c>
      <c r="L102" s="5" t="s">
        <v>15</v>
      </c>
      <c r="M102" s="5" t="s">
        <v>15</v>
      </c>
      <c r="N102" s="5" t="s">
        <v>15</v>
      </c>
      <c r="O102" s="3"/>
    </row>
    <row r="103" ht="15.75" customHeight="1">
      <c r="A103" s="6"/>
      <c r="B103" s="5" t="s">
        <v>15</v>
      </c>
      <c r="C103" s="5" t="s">
        <v>15</v>
      </c>
      <c r="D103" s="5" t="s">
        <v>36</v>
      </c>
      <c r="E103" s="5" t="s">
        <v>62</v>
      </c>
      <c r="F103" s="5" t="s">
        <v>23</v>
      </c>
      <c r="G103" s="5" t="s">
        <v>74</v>
      </c>
      <c r="H103" s="5" t="s">
        <v>15</v>
      </c>
      <c r="I103" s="5" t="s">
        <v>15</v>
      </c>
      <c r="J103" s="5" t="s">
        <v>15</v>
      </c>
      <c r="K103" s="5" t="s">
        <v>15</v>
      </c>
      <c r="L103" s="5" t="s">
        <v>15</v>
      </c>
      <c r="M103" s="5" t="s">
        <v>15</v>
      </c>
      <c r="N103" s="5" t="s">
        <v>15</v>
      </c>
      <c r="O103" s="3"/>
    </row>
    <row r="104" ht="15.75" customHeight="1">
      <c r="A104" s="7"/>
      <c r="B104" s="8" t="s">
        <v>15</v>
      </c>
      <c r="C104" s="8" t="s">
        <v>15</v>
      </c>
      <c r="D104" s="8" t="s">
        <v>69</v>
      </c>
      <c r="E104" s="8" t="s">
        <v>15</v>
      </c>
      <c r="F104" s="8" t="s">
        <v>15</v>
      </c>
      <c r="G104" s="8" t="s">
        <v>15</v>
      </c>
      <c r="H104" s="8" t="s">
        <v>15</v>
      </c>
      <c r="I104" s="8" t="s">
        <v>15</v>
      </c>
      <c r="J104" s="8" t="s">
        <v>15</v>
      </c>
      <c r="K104" s="8" t="s">
        <v>15</v>
      </c>
      <c r="L104" s="8" t="s">
        <v>15</v>
      </c>
      <c r="M104" s="8" t="s">
        <v>15</v>
      </c>
      <c r="N104" s="8" t="s">
        <v>15</v>
      </c>
      <c r="O104" s="3"/>
    </row>
    <row r="105" ht="15.75" customHeight="1">
      <c r="A105" s="4" t="s">
        <v>95</v>
      </c>
      <c r="B105" s="5" t="s">
        <v>15</v>
      </c>
      <c r="C105" s="5" t="s">
        <v>15</v>
      </c>
      <c r="D105" s="5" t="s">
        <v>15</v>
      </c>
      <c r="E105" s="5" t="s">
        <v>15</v>
      </c>
      <c r="F105" s="5" t="s">
        <v>15</v>
      </c>
      <c r="G105" s="5" t="s">
        <v>15</v>
      </c>
      <c r="H105" s="5" t="s">
        <v>15</v>
      </c>
      <c r="I105" s="5" t="s">
        <v>15</v>
      </c>
      <c r="J105" s="5" t="s">
        <v>15</v>
      </c>
      <c r="K105" s="5" t="s">
        <v>15</v>
      </c>
      <c r="L105" s="5" t="s">
        <v>15</v>
      </c>
      <c r="M105" s="5" t="s">
        <v>22</v>
      </c>
      <c r="N105" s="5" t="s">
        <v>67</v>
      </c>
      <c r="O105" s="3" t="str">
        <f>HYPERLINK("#مجمع!B" &amp; 17, "ورديات اليوم مجمعة")</f>
        <v>ورديات اليوم مجمعة</v>
      </c>
    </row>
    <row r="106" ht="15.75" customHeight="1">
      <c r="A106" s="6"/>
      <c r="B106" s="5" t="s">
        <v>15</v>
      </c>
      <c r="C106" s="5" t="s">
        <v>15</v>
      </c>
      <c r="D106" s="5" t="s">
        <v>15</v>
      </c>
      <c r="E106" s="5" t="s">
        <v>15</v>
      </c>
      <c r="F106" s="5" t="s">
        <v>15</v>
      </c>
      <c r="G106" s="5" t="s">
        <v>15</v>
      </c>
      <c r="H106" s="5" t="s">
        <v>15</v>
      </c>
      <c r="I106" s="5" t="s">
        <v>15</v>
      </c>
      <c r="J106" s="5" t="s">
        <v>15</v>
      </c>
      <c r="K106" s="5" t="s">
        <v>15</v>
      </c>
      <c r="L106" s="5" t="s">
        <v>15</v>
      </c>
      <c r="M106" s="5" t="s">
        <v>54</v>
      </c>
      <c r="N106" s="5" t="s">
        <v>18</v>
      </c>
      <c r="O106" s="3"/>
    </row>
    <row r="107" ht="15.75" customHeight="1">
      <c r="A107" s="6"/>
      <c r="B107" s="5" t="s">
        <v>15</v>
      </c>
      <c r="C107" s="5" t="s">
        <v>15</v>
      </c>
      <c r="D107" s="5" t="s">
        <v>15</v>
      </c>
      <c r="E107" s="5" t="s">
        <v>15</v>
      </c>
      <c r="F107" s="5" t="s">
        <v>15</v>
      </c>
      <c r="G107" s="5" t="s">
        <v>15</v>
      </c>
      <c r="H107" s="5" t="s">
        <v>15</v>
      </c>
      <c r="I107" s="5" t="s">
        <v>15</v>
      </c>
      <c r="J107" s="5" t="s">
        <v>15</v>
      </c>
      <c r="K107" s="5" t="s">
        <v>15</v>
      </c>
      <c r="L107" s="5" t="s">
        <v>15</v>
      </c>
      <c r="M107" s="5" t="s">
        <v>74</v>
      </c>
      <c r="N107" s="5" t="s">
        <v>42</v>
      </c>
      <c r="O107" s="3"/>
    </row>
    <row r="108" ht="15.75" customHeight="1">
      <c r="A108" s="6"/>
      <c r="B108" s="5" t="s">
        <v>15</v>
      </c>
      <c r="C108" s="5" t="s">
        <v>15</v>
      </c>
      <c r="D108" s="5" t="s">
        <v>15</v>
      </c>
      <c r="E108" s="5" t="s">
        <v>15</v>
      </c>
      <c r="F108" s="5" t="s">
        <v>15</v>
      </c>
      <c r="G108" s="5" t="s">
        <v>15</v>
      </c>
      <c r="H108" s="5" t="s">
        <v>15</v>
      </c>
      <c r="I108" s="5" t="s">
        <v>15</v>
      </c>
      <c r="J108" s="5" t="s">
        <v>15</v>
      </c>
      <c r="K108" s="5" t="s">
        <v>15</v>
      </c>
      <c r="L108" s="5" t="s">
        <v>15</v>
      </c>
      <c r="M108" s="5" t="s">
        <v>29</v>
      </c>
      <c r="N108" s="5" t="s">
        <v>21</v>
      </c>
      <c r="O108" s="3"/>
    </row>
    <row r="109" ht="15.75" customHeight="1">
      <c r="A109" s="6"/>
      <c r="B109" s="5" t="s">
        <v>15</v>
      </c>
      <c r="C109" s="5" t="s">
        <v>15</v>
      </c>
      <c r="D109" s="5" t="s">
        <v>15</v>
      </c>
      <c r="E109" s="5" t="s">
        <v>15</v>
      </c>
      <c r="F109" s="5" t="s">
        <v>15</v>
      </c>
      <c r="G109" s="5" t="s">
        <v>15</v>
      </c>
      <c r="H109" s="5" t="s">
        <v>15</v>
      </c>
      <c r="I109" s="5" t="s">
        <v>15</v>
      </c>
      <c r="J109" s="5" t="s">
        <v>15</v>
      </c>
      <c r="K109" s="5" t="s">
        <v>15</v>
      </c>
      <c r="L109" s="5" t="s">
        <v>15</v>
      </c>
      <c r="M109" s="5" t="s">
        <v>38</v>
      </c>
      <c r="N109" s="5" t="s">
        <v>73</v>
      </c>
      <c r="O109" s="3"/>
    </row>
    <row r="110" ht="15.75" customHeight="1">
      <c r="A110" s="6"/>
      <c r="B110" s="5" t="s">
        <v>15</v>
      </c>
      <c r="C110" s="5" t="s">
        <v>15</v>
      </c>
      <c r="D110" s="5" t="s">
        <v>15</v>
      </c>
      <c r="E110" s="5" t="s">
        <v>15</v>
      </c>
      <c r="F110" s="5" t="s">
        <v>15</v>
      </c>
      <c r="G110" s="5" t="s">
        <v>15</v>
      </c>
      <c r="H110" s="5" t="s">
        <v>15</v>
      </c>
      <c r="I110" s="5" t="s">
        <v>15</v>
      </c>
      <c r="J110" s="5" t="s">
        <v>15</v>
      </c>
      <c r="K110" s="5" t="s">
        <v>15</v>
      </c>
      <c r="L110" s="5" t="s">
        <v>15</v>
      </c>
      <c r="M110" s="5" t="s">
        <v>55</v>
      </c>
      <c r="N110" s="5" t="s">
        <v>15</v>
      </c>
      <c r="O110" s="3"/>
    </row>
    <row r="111" ht="15.75" customHeight="1">
      <c r="A111" s="6"/>
      <c r="B111" s="5" t="s">
        <v>15</v>
      </c>
      <c r="C111" s="5" t="s">
        <v>15</v>
      </c>
      <c r="D111" s="5" t="s">
        <v>15</v>
      </c>
      <c r="E111" s="5" t="s">
        <v>15</v>
      </c>
      <c r="F111" s="5" t="s">
        <v>15</v>
      </c>
      <c r="G111" s="5" t="s">
        <v>15</v>
      </c>
      <c r="H111" s="5" t="s">
        <v>15</v>
      </c>
      <c r="I111" s="5" t="s">
        <v>15</v>
      </c>
      <c r="J111" s="5" t="s">
        <v>15</v>
      </c>
      <c r="K111" s="5" t="s">
        <v>15</v>
      </c>
      <c r="L111" s="5" t="s">
        <v>15</v>
      </c>
      <c r="M111" s="5" t="s">
        <v>53</v>
      </c>
      <c r="N111" s="5" t="s">
        <v>15</v>
      </c>
      <c r="O111" s="3"/>
    </row>
    <row r="112" ht="15.75" customHeight="1">
      <c r="A112" s="7"/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70</v>
      </c>
      <c r="N112" s="8" t="s">
        <v>15</v>
      </c>
      <c r="O112" s="3"/>
    </row>
    <row r="113" ht="15.75" customHeight="1">
      <c r="A113" s="4" t="s">
        <v>96</v>
      </c>
      <c r="B113" s="5" t="s">
        <v>15</v>
      </c>
      <c r="C113" s="5" t="s">
        <v>15</v>
      </c>
      <c r="D113" s="5" t="s">
        <v>15</v>
      </c>
      <c r="E113" s="5" t="s">
        <v>15</v>
      </c>
      <c r="F113" s="5" t="s">
        <v>15</v>
      </c>
      <c r="G113" s="5" t="s">
        <v>15</v>
      </c>
      <c r="H113" s="5" t="s">
        <v>15</v>
      </c>
      <c r="I113" s="5" t="s">
        <v>15</v>
      </c>
      <c r="J113" s="5" t="s">
        <v>15</v>
      </c>
      <c r="K113" s="5" t="s">
        <v>15</v>
      </c>
      <c r="L113" s="5" t="s">
        <v>56</v>
      </c>
      <c r="M113" s="5" t="s">
        <v>60</v>
      </c>
      <c r="N113" s="5" t="s">
        <v>30</v>
      </c>
      <c r="O113" s="3" t="str">
        <f>HYPERLINK("#مجمع!B" &amp; 18, "ورديات اليوم مجمعة")</f>
        <v>ورديات اليوم مجمعة</v>
      </c>
    </row>
    <row r="114" ht="15.75" customHeight="1">
      <c r="A114" s="6"/>
      <c r="B114" s="5" t="s">
        <v>15</v>
      </c>
      <c r="C114" s="5" t="s">
        <v>15</v>
      </c>
      <c r="D114" s="5" t="s">
        <v>15</v>
      </c>
      <c r="E114" s="5" t="s">
        <v>15</v>
      </c>
      <c r="F114" s="5" t="s">
        <v>15</v>
      </c>
      <c r="G114" s="5" t="s">
        <v>15</v>
      </c>
      <c r="H114" s="5" t="s">
        <v>15</v>
      </c>
      <c r="I114" s="5" t="s">
        <v>15</v>
      </c>
      <c r="J114" s="5" t="s">
        <v>15</v>
      </c>
      <c r="K114" s="5" t="s">
        <v>15</v>
      </c>
      <c r="L114" s="5" t="s">
        <v>17</v>
      </c>
      <c r="M114" s="5" t="s">
        <v>65</v>
      </c>
      <c r="N114" s="5" t="s">
        <v>41</v>
      </c>
      <c r="O114" s="3"/>
    </row>
    <row r="115" ht="15.75" customHeight="1">
      <c r="A115" s="6"/>
      <c r="B115" s="5" t="s">
        <v>15</v>
      </c>
      <c r="C115" s="5" t="s">
        <v>15</v>
      </c>
      <c r="D115" s="5" t="s">
        <v>15</v>
      </c>
      <c r="E115" s="5" t="s">
        <v>15</v>
      </c>
      <c r="F115" s="5" t="s">
        <v>15</v>
      </c>
      <c r="G115" s="5" t="s">
        <v>15</v>
      </c>
      <c r="H115" s="5" t="s">
        <v>15</v>
      </c>
      <c r="I115" s="5" t="s">
        <v>15</v>
      </c>
      <c r="J115" s="5" t="s">
        <v>15</v>
      </c>
      <c r="K115" s="5" t="s">
        <v>15</v>
      </c>
      <c r="L115" s="5" t="s">
        <v>20</v>
      </c>
      <c r="M115" s="5" t="s">
        <v>40</v>
      </c>
      <c r="N115" s="5" t="s">
        <v>16</v>
      </c>
      <c r="O115" s="3"/>
    </row>
    <row r="116" ht="15.75" customHeight="1">
      <c r="A116" s="6"/>
      <c r="B116" s="5" t="s">
        <v>15</v>
      </c>
      <c r="C116" s="5" t="s">
        <v>15</v>
      </c>
      <c r="D116" s="5" t="s">
        <v>15</v>
      </c>
      <c r="E116" s="5" t="s">
        <v>15</v>
      </c>
      <c r="F116" s="5" t="s">
        <v>15</v>
      </c>
      <c r="G116" s="5" t="s">
        <v>15</v>
      </c>
      <c r="H116" s="5" t="s">
        <v>15</v>
      </c>
      <c r="I116" s="5" t="s">
        <v>15</v>
      </c>
      <c r="J116" s="5" t="s">
        <v>15</v>
      </c>
      <c r="K116" s="5" t="s">
        <v>15</v>
      </c>
      <c r="L116" s="5" t="s">
        <v>15</v>
      </c>
      <c r="M116" s="5" t="s">
        <v>26</v>
      </c>
      <c r="N116" s="5" t="s">
        <v>70</v>
      </c>
      <c r="O116" s="3"/>
    </row>
    <row r="117" ht="15.75" customHeight="1">
      <c r="A117" s="6"/>
      <c r="B117" s="5" t="s">
        <v>15</v>
      </c>
      <c r="C117" s="5" t="s">
        <v>15</v>
      </c>
      <c r="D117" s="5" t="s">
        <v>15</v>
      </c>
      <c r="E117" s="5" t="s">
        <v>15</v>
      </c>
      <c r="F117" s="5" t="s">
        <v>15</v>
      </c>
      <c r="G117" s="5" t="s">
        <v>15</v>
      </c>
      <c r="H117" s="5" t="s">
        <v>15</v>
      </c>
      <c r="I117" s="5" t="s">
        <v>15</v>
      </c>
      <c r="J117" s="5" t="s">
        <v>15</v>
      </c>
      <c r="K117" s="5" t="s">
        <v>15</v>
      </c>
      <c r="L117" s="5" t="s">
        <v>15</v>
      </c>
      <c r="M117" s="5" t="s">
        <v>87</v>
      </c>
      <c r="N117" s="5" t="s">
        <v>15</v>
      </c>
      <c r="O117" s="3"/>
    </row>
    <row r="118" ht="15.75" customHeight="1">
      <c r="A118" s="7"/>
      <c r="B118" s="8" t="s">
        <v>15</v>
      </c>
      <c r="C118" s="8" t="s">
        <v>15</v>
      </c>
      <c r="D118" s="8" t="s">
        <v>15</v>
      </c>
      <c r="E118" s="8" t="s">
        <v>15</v>
      </c>
      <c r="F118" s="8" t="s">
        <v>15</v>
      </c>
      <c r="G118" s="8" t="s">
        <v>15</v>
      </c>
      <c r="H118" s="8" t="s">
        <v>15</v>
      </c>
      <c r="I118" s="8" t="s">
        <v>15</v>
      </c>
      <c r="J118" s="8" t="s">
        <v>15</v>
      </c>
      <c r="K118" s="8" t="s">
        <v>15</v>
      </c>
      <c r="L118" s="8" t="s">
        <v>15</v>
      </c>
      <c r="M118" s="8" t="s">
        <v>75</v>
      </c>
      <c r="N118" s="8" t="s">
        <v>15</v>
      </c>
      <c r="O118" s="3"/>
    </row>
    <row r="119" ht="15.75" customHeight="1">
      <c r="A119" s="4" t="s">
        <v>97</v>
      </c>
      <c r="B119" s="5" t="s">
        <v>15</v>
      </c>
      <c r="C119" s="5" t="s">
        <v>15</v>
      </c>
      <c r="D119" s="5" t="s">
        <v>15</v>
      </c>
      <c r="E119" s="5" t="s">
        <v>15</v>
      </c>
      <c r="F119" s="5" t="s">
        <v>15</v>
      </c>
      <c r="G119" s="5" t="s">
        <v>15</v>
      </c>
      <c r="H119" s="5" t="s">
        <v>15</v>
      </c>
      <c r="I119" s="5" t="s">
        <v>15</v>
      </c>
      <c r="J119" s="5" t="s">
        <v>15</v>
      </c>
      <c r="K119" s="5" t="s">
        <v>15</v>
      </c>
      <c r="L119" s="5" t="s">
        <v>15</v>
      </c>
      <c r="M119" s="5" t="s">
        <v>68</v>
      </c>
      <c r="N119" s="5" t="s">
        <v>48</v>
      </c>
      <c r="O119" s="3" t="str">
        <f>HYPERLINK("#مجمع!B" &amp; 19, "ورديات اليوم مجمعة")</f>
        <v>ورديات اليوم مجمعة</v>
      </c>
    </row>
    <row r="120" ht="15.75" customHeight="1">
      <c r="A120" s="6"/>
      <c r="B120" s="5" t="s">
        <v>15</v>
      </c>
      <c r="C120" s="5" t="s">
        <v>15</v>
      </c>
      <c r="D120" s="5" t="s">
        <v>15</v>
      </c>
      <c r="E120" s="5" t="s">
        <v>15</v>
      </c>
      <c r="F120" s="5" t="s">
        <v>15</v>
      </c>
      <c r="G120" s="5" t="s">
        <v>15</v>
      </c>
      <c r="H120" s="5" t="s">
        <v>15</v>
      </c>
      <c r="I120" s="5" t="s">
        <v>15</v>
      </c>
      <c r="J120" s="5" t="s">
        <v>15</v>
      </c>
      <c r="K120" s="5" t="s">
        <v>15</v>
      </c>
      <c r="L120" s="5" t="s">
        <v>15</v>
      </c>
      <c r="M120" s="5" t="s">
        <v>77</v>
      </c>
      <c r="N120" s="5" t="s">
        <v>22</v>
      </c>
      <c r="O120" s="3"/>
    </row>
    <row r="121" ht="15.75" customHeight="1">
      <c r="A121" s="6"/>
      <c r="B121" s="5" t="s">
        <v>15</v>
      </c>
      <c r="C121" s="5" t="s">
        <v>15</v>
      </c>
      <c r="D121" s="5" t="s">
        <v>15</v>
      </c>
      <c r="E121" s="5" t="s">
        <v>15</v>
      </c>
      <c r="F121" s="5" t="s">
        <v>15</v>
      </c>
      <c r="G121" s="5" t="s">
        <v>15</v>
      </c>
      <c r="H121" s="5" t="s">
        <v>15</v>
      </c>
      <c r="I121" s="5" t="s">
        <v>15</v>
      </c>
      <c r="J121" s="5" t="s">
        <v>15</v>
      </c>
      <c r="K121" s="5" t="s">
        <v>15</v>
      </c>
      <c r="L121" s="5" t="s">
        <v>15</v>
      </c>
      <c r="M121" s="5" t="s">
        <v>17</v>
      </c>
      <c r="N121" s="5" t="s">
        <v>37</v>
      </c>
      <c r="O121" s="3"/>
    </row>
    <row r="122" ht="15.75" customHeight="1">
      <c r="A122" s="6"/>
      <c r="B122" s="5" t="s">
        <v>15</v>
      </c>
      <c r="C122" s="5" t="s">
        <v>15</v>
      </c>
      <c r="D122" s="5" t="s">
        <v>15</v>
      </c>
      <c r="E122" s="5" t="s">
        <v>15</v>
      </c>
      <c r="F122" s="5" t="s">
        <v>15</v>
      </c>
      <c r="G122" s="5" t="s">
        <v>15</v>
      </c>
      <c r="H122" s="5" t="s">
        <v>15</v>
      </c>
      <c r="I122" s="5" t="s">
        <v>15</v>
      </c>
      <c r="J122" s="5" t="s">
        <v>15</v>
      </c>
      <c r="K122" s="5" t="s">
        <v>15</v>
      </c>
      <c r="L122" s="5" t="s">
        <v>15</v>
      </c>
      <c r="M122" s="5" t="s">
        <v>56</v>
      </c>
      <c r="N122" s="5" t="s">
        <v>80</v>
      </c>
      <c r="O122" s="3"/>
    </row>
    <row r="123" ht="15.75" customHeight="1">
      <c r="A123" s="6"/>
      <c r="B123" s="5" t="s">
        <v>15</v>
      </c>
      <c r="C123" s="5" t="s">
        <v>15</v>
      </c>
      <c r="D123" s="5" t="s">
        <v>15</v>
      </c>
      <c r="E123" s="5" t="s">
        <v>15</v>
      </c>
      <c r="F123" s="5" t="s">
        <v>15</v>
      </c>
      <c r="G123" s="5" t="s">
        <v>15</v>
      </c>
      <c r="H123" s="5" t="s">
        <v>15</v>
      </c>
      <c r="I123" s="5" t="s">
        <v>15</v>
      </c>
      <c r="J123" s="5" t="s">
        <v>15</v>
      </c>
      <c r="K123" s="5" t="s">
        <v>15</v>
      </c>
      <c r="L123" s="5" t="s">
        <v>15</v>
      </c>
      <c r="M123" s="5" t="s">
        <v>51</v>
      </c>
      <c r="N123" s="5" t="s">
        <v>15</v>
      </c>
      <c r="O123" s="3"/>
    </row>
    <row r="124" ht="15.75" customHeight="1">
      <c r="A124" s="7"/>
      <c r="B124" s="8" t="s">
        <v>15</v>
      </c>
      <c r="C124" s="8" t="s">
        <v>15</v>
      </c>
      <c r="D124" s="8" t="s">
        <v>15</v>
      </c>
      <c r="E124" s="8" t="s">
        <v>15</v>
      </c>
      <c r="F124" s="8" t="s">
        <v>15</v>
      </c>
      <c r="G124" s="8" t="s">
        <v>15</v>
      </c>
      <c r="H124" s="8" t="s">
        <v>15</v>
      </c>
      <c r="I124" s="8" t="s">
        <v>15</v>
      </c>
      <c r="J124" s="8" t="s">
        <v>15</v>
      </c>
      <c r="K124" s="8" t="s">
        <v>15</v>
      </c>
      <c r="L124" s="8" t="s">
        <v>15</v>
      </c>
      <c r="M124" s="8" t="s">
        <v>66</v>
      </c>
      <c r="N124" s="8" t="s">
        <v>15</v>
      </c>
      <c r="O124" s="3"/>
    </row>
    <row r="125" ht="15.75" customHeight="1">
      <c r="A125" s="4" t="s">
        <v>98</v>
      </c>
      <c r="B125" s="5" t="s">
        <v>15</v>
      </c>
      <c r="C125" s="5" t="s">
        <v>15</v>
      </c>
      <c r="D125" s="5" t="s">
        <v>15</v>
      </c>
      <c r="E125" s="5" t="s">
        <v>15</v>
      </c>
      <c r="F125" s="5" t="s">
        <v>15</v>
      </c>
      <c r="G125" s="5" t="s">
        <v>15</v>
      </c>
      <c r="H125" s="5" t="s">
        <v>15</v>
      </c>
      <c r="I125" s="5" t="s">
        <v>15</v>
      </c>
      <c r="J125" s="5" t="s">
        <v>15</v>
      </c>
      <c r="K125" s="5" t="s">
        <v>15</v>
      </c>
      <c r="L125" s="5" t="s">
        <v>15</v>
      </c>
      <c r="M125" s="5" t="s">
        <v>46</v>
      </c>
      <c r="N125" s="5" t="s">
        <v>48</v>
      </c>
      <c r="O125" s="3" t="str">
        <f>HYPERLINK("#مجمع!B" &amp; 20, "ورديات اليوم مجمعة")</f>
        <v>ورديات اليوم مجمعة</v>
      </c>
    </row>
    <row r="126" ht="15.75" customHeight="1">
      <c r="A126" s="6"/>
      <c r="B126" s="5" t="s">
        <v>15</v>
      </c>
      <c r="C126" s="5" t="s">
        <v>15</v>
      </c>
      <c r="D126" s="5" t="s">
        <v>15</v>
      </c>
      <c r="E126" s="5" t="s">
        <v>15</v>
      </c>
      <c r="F126" s="5" t="s">
        <v>15</v>
      </c>
      <c r="G126" s="5" t="s">
        <v>15</v>
      </c>
      <c r="H126" s="5" t="s">
        <v>15</v>
      </c>
      <c r="I126" s="5" t="s">
        <v>15</v>
      </c>
      <c r="J126" s="5" t="s">
        <v>15</v>
      </c>
      <c r="K126" s="5" t="s">
        <v>15</v>
      </c>
      <c r="L126" s="5" t="s">
        <v>15</v>
      </c>
      <c r="M126" s="5" t="s">
        <v>63</v>
      </c>
      <c r="N126" s="5" t="s">
        <v>62</v>
      </c>
      <c r="O126" s="3"/>
    </row>
    <row r="127" ht="15.75" customHeight="1">
      <c r="A127" s="6"/>
      <c r="B127" s="5" t="s">
        <v>15</v>
      </c>
      <c r="C127" s="5" t="s">
        <v>15</v>
      </c>
      <c r="D127" s="5" t="s">
        <v>15</v>
      </c>
      <c r="E127" s="5" t="s">
        <v>15</v>
      </c>
      <c r="F127" s="5" t="s">
        <v>15</v>
      </c>
      <c r="G127" s="5" t="s">
        <v>15</v>
      </c>
      <c r="H127" s="5" t="s">
        <v>15</v>
      </c>
      <c r="I127" s="5" t="s">
        <v>15</v>
      </c>
      <c r="J127" s="5" t="s">
        <v>15</v>
      </c>
      <c r="K127" s="5" t="s">
        <v>15</v>
      </c>
      <c r="L127" s="5" t="s">
        <v>15</v>
      </c>
      <c r="M127" s="5" t="s">
        <v>19</v>
      </c>
      <c r="N127" s="5" t="s">
        <v>52</v>
      </c>
      <c r="O127" s="3"/>
    </row>
    <row r="128" ht="15.75" customHeight="1">
      <c r="A128" s="6"/>
      <c r="B128" s="5" t="s">
        <v>15</v>
      </c>
      <c r="C128" s="5" t="s">
        <v>15</v>
      </c>
      <c r="D128" s="5" t="s">
        <v>15</v>
      </c>
      <c r="E128" s="5" t="s">
        <v>15</v>
      </c>
      <c r="F128" s="5" t="s">
        <v>15</v>
      </c>
      <c r="G128" s="5" t="s">
        <v>15</v>
      </c>
      <c r="H128" s="5" t="s">
        <v>15</v>
      </c>
      <c r="I128" s="5" t="s">
        <v>15</v>
      </c>
      <c r="J128" s="5" t="s">
        <v>15</v>
      </c>
      <c r="K128" s="5" t="s">
        <v>15</v>
      </c>
      <c r="L128" s="5" t="s">
        <v>15</v>
      </c>
      <c r="M128" s="5" t="s">
        <v>36</v>
      </c>
      <c r="N128" s="5" t="s">
        <v>15</v>
      </c>
      <c r="O128" s="3"/>
    </row>
    <row r="129" ht="15.75" customHeight="1">
      <c r="A129" s="7"/>
      <c r="B129" s="8" t="s">
        <v>15</v>
      </c>
      <c r="C129" s="8" t="s">
        <v>15</v>
      </c>
      <c r="D129" s="8" t="s">
        <v>15</v>
      </c>
      <c r="E129" s="8" t="s">
        <v>15</v>
      </c>
      <c r="F129" s="8" t="s">
        <v>15</v>
      </c>
      <c r="G129" s="8" t="s">
        <v>15</v>
      </c>
      <c r="H129" s="8" t="s">
        <v>15</v>
      </c>
      <c r="I129" s="8" t="s">
        <v>15</v>
      </c>
      <c r="J129" s="8" t="s">
        <v>15</v>
      </c>
      <c r="K129" s="8" t="s">
        <v>15</v>
      </c>
      <c r="L129" s="8" t="s">
        <v>15</v>
      </c>
      <c r="M129" s="8" t="s">
        <v>69</v>
      </c>
      <c r="N129" s="8" t="s">
        <v>15</v>
      </c>
      <c r="O129" s="3"/>
    </row>
    <row r="130" ht="15.75" customHeight="1">
      <c r="A130" s="4" t="s">
        <v>99</v>
      </c>
      <c r="B130" s="5" t="s">
        <v>15</v>
      </c>
      <c r="C130" s="5" t="s">
        <v>15</v>
      </c>
      <c r="D130" s="5" t="s">
        <v>15</v>
      </c>
      <c r="E130" s="5" t="s">
        <v>15</v>
      </c>
      <c r="F130" s="5" t="s">
        <v>15</v>
      </c>
      <c r="G130" s="5" t="s">
        <v>15</v>
      </c>
      <c r="H130" s="5" t="s">
        <v>15</v>
      </c>
      <c r="I130" s="5" t="s">
        <v>15</v>
      </c>
      <c r="J130" s="5" t="s">
        <v>15</v>
      </c>
      <c r="K130" s="5" t="s">
        <v>15</v>
      </c>
      <c r="L130" s="5" t="s">
        <v>15</v>
      </c>
      <c r="M130" s="5" t="s">
        <v>79</v>
      </c>
      <c r="N130" s="5" t="s">
        <v>33</v>
      </c>
      <c r="O130" s="3" t="str">
        <f>HYPERLINK("#مجمع!B" &amp; 21, "ورديات اليوم مجمعة")</f>
        <v>ورديات اليوم مجمعة</v>
      </c>
    </row>
    <row r="131" ht="15.75" customHeight="1">
      <c r="A131" s="6"/>
      <c r="B131" s="5" t="s">
        <v>15</v>
      </c>
      <c r="C131" s="5" t="s">
        <v>15</v>
      </c>
      <c r="D131" s="5" t="s">
        <v>15</v>
      </c>
      <c r="E131" s="5" t="s">
        <v>15</v>
      </c>
      <c r="F131" s="5" t="s">
        <v>15</v>
      </c>
      <c r="G131" s="5" t="s">
        <v>15</v>
      </c>
      <c r="H131" s="5" t="s">
        <v>15</v>
      </c>
      <c r="I131" s="5" t="s">
        <v>15</v>
      </c>
      <c r="J131" s="5" t="s">
        <v>15</v>
      </c>
      <c r="K131" s="5" t="s">
        <v>15</v>
      </c>
      <c r="L131" s="5" t="s">
        <v>15</v>
      </c>
      <c r="M131" s="5" t="s">
        <v>29</v>
      </c>
      <c r="N131" s="5" t="s">
        <v>39</v>
      </c>
      <c r="O131" s="3"/>
    </row>
    <row r="132" ht="15.75" customHeight="1">
      <c r="A132" s="6"/>
      <c r="B132" s="5" t="s">
        <v>15</v>
      </c>
      <c r="C132" s="5" t="s">
        <v>15</v>
      </c>
      <c r="D132" s="5" t="s">
        <v>15</v>
      </c>
      <c r="E132" s="5" t="s">
        <v>15</v>
      </c>
      <c r="F132" s="5" t="s">
        <v>15</v>
      </c>
      <c r="G132" s="5" t="s">
        <v>15</v>
      </c>
      <c r="H132" s="5" t="s">
        <v>15</v>
      </c>
      <c r="I132" s="5" t="s">
        <v>15</v>
      </c>
      <c r="J132" s="5" t="s">
        <v>15</v>
      </c>
      <c r="K132" s="5" t="s">
        <v>15</v>
      </c>
      <c r="L132" s="5" t="s">
        <v>15</v>
      </c>
      <c r="M132" s="5" t="s">
        <v>32</v>
      </c>
      <c r="N132" s="5" t="s">
        <v>70</v>
      </c>
      <c r="O132" s="3"/>
    </row>
    <row r="133" ht="15.75" customHeight="1">
      <c r="A133" s="7"/>
      <c r="B133" s="8" t="s">
        <v>15</v>
      </c>
      <c r="C133" s="8" t="s">
        <v>15</v>
      </c>
      <c r="D133" s="8" t="s">
        <v>15</v>
      </c>
      <c r="E133" s="8" t="s">
        <v>15</v>
      </c>
      <c r="F133" s="8" t="s">
        <v>15</v>
      </c>
      <c r="G133" s="8" t="s">
        <v>15</v>
      </c>
      <c r="H133" s="8" t="s">
        <v>15</v>
      </c>
      <c r="I133" s="8" t="s">
        <v>15</v>
      </c>
      <c r="J133" s="8" t="s">
        <v>15</v>
      </c>
      <c r="K133" s="8" t="s">
        <v>15</v>
      </c>
      <c r="L133" s="8" t="s">
        <v>15</v>
      </c>
      <c r="M133" s="8" t="s">
        <v>59</v>
      </c>
      <c r="N133" s="8" t="s">
        <v>44</v>
      </c>
      <c r="O133" s="3"/>
    </row>
    <row r="134" ht="15.75" customHeight="1">
      <c r="A134" s="4" t="s">
        <v>100</v>
      </c>
      <c r="B134" s="5" t="s">
        <v>15</v>
      </c>
      <c r="C134" s="5" t="s">
        <v>15</v>
      </c>
      <c r="D134" s="5" t="s">
        <v>15</v>
      </c>
      <c r="E134" s="5" t="s">
        <v>15</v>
      </c>
      <c r="F134" s="5" t="s">
        <v>15</v>
      </c>
      <c r="G134" s="5" t="s">
        <v>15</v>
      </c>
      <c r="H134" s="5" t="s">
        <v>15</v>
      </c>
      <c r="I134" s="5" t="s">
        <v>15</v>
      </c>
      <c r="J134" s="5" t="s">
        <v>15</v>
      </c>
      <c r="K134" s="5" t="s">
        <v>15</v>
      </c>
      <c r="L134" s="5" t="s">
        <v>64</v>
      </c>
      <c r="M134" s="5" t="s">
        <v>62</v>
      </c>
      <c r="N134" s="5" t="s">
        <v>48</v>
      </c>
      <c r="O134" s="3" t="str">
        <f>HYPERLINK("#مجمع!B" &amp; 22, "ورديات اليوم مجمعة")</f>
        <v>ورديات اليوم مجمعة</v>
      </c>
    </row>
    <row r="135" ht="15.75" customHeight="1">
      <c r="A135" s="6"/>
      <c r="B135" s="5" t="s">
        <v>15</v>
      </c>
      <c r="C135" s="5" t="s">
        <v>15</v>
      </c>
      <c r="D135" s="5" t="s">
        <v>15</v>
      </c>
      <c r="E135" s="5" t="s">
        <v>15</v>
      </c>
      <c r="F135" s="5" t="s">
        <v>15</v>
      </c>
      <c r="G135" s="5" t="s">
        <v>15</v>
      </c>
      <c r="H135" s="5" t="s">
        <v>15</v>
      </c>
      <c r="I135" s="5" t="s">
        <v>15</v>
      </c>
      <c r="J135" s="5" t="s">
        <v>15</v>
      </c>
      <c r="K135" s="5" t="s">
        <v>15</v>
      </c>
      <c r="L135" s="5" t="s">
        <v>68</v>
      </c>
      <c r="M135" s="5" t="s">
        <v>28</v>
      </c>
      <c r="N135" s="5" t="s">
        <v>35</v>
      </c>
      <c r="O135" s="3"/>
    </row>
    <row r="136" ht="15.75" customHeight="1">
      <c r="A136" s="6"/>
      <c r="B136" s="5" t="s">
        <v>15</v>
      </c>
      <c r="C136" s="5" t="s">
        <v>15</v>
      </c>
      <c r="D136" s="5" t="s">
        <v>15</v>
      </c>
      <c r="E136" s="5" t="s">
        <v>15</v>
      </c>
      <c r="F136" s="5" t="s">
        <v>15</v>
      </c>
      <c r="G136" s="5" t="s">
        <v>15</v>
      </c>
      <c r="H136" s="5" t="s">
        <v>15</v>
      </c>
      <c r="I136" s="5" t="s">
        <v>15</v>
      </c>
      <c r="J136" s="5" t="s">
        <v>15</v>
      </c>
      <c r="K136" s="5" t="s">
        <v>15</v>
      </c>
      <c r="L136" s="5" t="s">
        <v>31</v>
      </c>
      <c r="M136" s="5" t="s">
        <v>20</v>
      </c>
      <c r="N136" s="5" t="s">
        <v>21</v>
      </c>
      <c r="O136" s="3"/>
    </row>
    <row r="137" ht="15.75" customHeight="1">
      <c r="A137" s="6"/>
      <c r="B137" s="5" t="s">
        <v>15</v>
      </c>
      <c r="C137" s="5" t="s">
        <v>15</v>
      </c>
      <c r="D137" s="5" t="s">
        <v>15</v>
      </c>
      <c r="E137" s="5" t="s">
        <v>15</v>
      </c>
      <c r="F137" s="5" t="s">
        <v>15</v>
      </c>
      <c r="G137" s="5" t="s">
        <v>15</v>
      </c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15</v>
      </c>
      <c r="M137" s="5" t="s">
        <v>17</v>
      </c>
      <c r="N137" s="5" t="s">
        <v>15</v>
      </c>
      <c r="O137" s="3"/>
    </row>
    <row r="138" ht="15.75" customHeight="1">
      <c r="A138" s="7"/>
      <c r="B138" s="8" t="s">
        <v>15</v>
      </c>
      <c r="C138" s="8" t="s">
        <v>15</v>
      </c>
      <c r="D138" s="8" t="s">
        <v>15</v>
      </c>
      <c r="E138" s="8" t="s">
        <v>15</v>
      </c>
      <c r="F138" s="8" t="s">
        <v>15</v>
      </c>
      <c r="G138" s="8" t="s">
        <v>15</v>
      </c>
      <c r="H138" s="8" t="s">
        <v>15</v>
      </c>
      <c r="I138" s="8" t="s">
        <v>15</v>
      </c>
      <c r="J138" s="8" t="s">
        <v>15</v>
      </c>
      <c r="K138" s="8" t="s">
        <v>15</v>
      </c>
      <c r="L138" s="8" t="s">
        <v>15</v>
      </c>
      <c r="M138" s="8" t="s">
        <v>82</v>
      </c>
      <c r="N138" s="8" t="s">
        <v>15</v>
      </c>
      <c r="O138" s="3"/>
    </row>
  </sheetData>
  <mergeCells count="22">
    <mergeCell ref="A130:A133"/>
    <mergeCell ref="A134:A138"/>
    <mergeCell ref="A95:A104"/>
    <mergeCell ref="A105:A112"/>
    <mergeCell ref="A113:A118"/>
    <mergeCell ref="A119:A124"/>
    <mergeCell ref="A125:A129"/>
    <mergeCell ref="A90:A94"/>
    <mergeCell ref="A51:A60"/>
    <mergeCell ref="A61:A68"/>
    <mergeCell ref="A2:A6"/>
    <mergeCell ref="A7:A16"/>
    <mergeCell ref="A17:A24"/>
    <mergeCell ref="A25:A30"/>
    <mergeCell ref="A69:A74"/>
    <mergeCell ref="A75:A80"/>
    <mergeCell ref="A81:A85"/>
    <mergeCell ref="A86:A89"/>
    <mergeCell ref="A37:A41"/>
    <mergeCell ref="A42:A45"/>
    <mergeCell ref="A46:A50"/>
    <mergeCell ref="A31:A36"/>
  </mergeCells>
  <conditionalFormatting sqref="B2:N138">
    <cfRule type="containsBlanks" dxfId="0" priority="1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22.71"/>
    <col customWidth="1" min="3" max="3" width="16.71"/>
    <col customWidth="1" min="4" max="11" width="8.71"/>
  </cols>
  <sheetData>
    <row r="1">
      <c r="A1" s="2" t="s">
        <v>101</v>
      </c>
      <c r="B1" s="2" t="s">
        <v>102</v>
      </c>
      <c r="C1" s="2" t="s">
        <v>0</v>
      </c>
    </row>
    <row r="2">
      <c r="A2" s="1" t="s">
        <v>14</v>
      </c>
      <c r="B2" s="5" t="str">
        <f>"" &amp; "■■ " &amp; 'الجدول'!B1 &amp; " ■■" &amp; CHAR(10) &amp; "• " &amp; 'الجدول'!B2 &amp; CHAR(10) &amp; "• " &amp; 'الجدول'!B3 &amp; CHAR(10) &amp; "• " &amp; 'الجدول'!B4 &amp; CHAR(10) &amp; "• " &amp; 'الجدول'!B5 &amp; CHAR(10) &amp; "• " &amp; 'الجدول'!B6 &amp; CHAR(10) &amp; CHAR(10) &amp; "■■ " &amp; 'الجدول'!C1 &amp; " ■■" &amp; CHAR(10) &amp; "• " &amp; 'الجدول'!C2 &amp; CHAR(10) &amp; "• " &amp; 'الجدول'!C3 &amp; CHAR(10) &amp; "• " &amp; 'الجدول'!C4 &amp; CHAR(10) &amp; "• " &amp; 'الجدول'!C5 &amp; CHAR(10) &amp; "• " &amp; 'الجدول'!C6 &amp; CHAR(10) &amp; CHAR(10) &amp; "■■ " &amp; 'الجدول'!D1 &amp; " ■■" &amp; CHAR(10) &amp; "• " &amp; 'الجدول'!D2 &amp; CHAR(10) &amp; "• " &amp; 'الجدول'!D3 &amp; CHAR(10) &amp; "• " &amp; 'الجدول'!D4 &amp; CHAR(10) &amp; "• " &amp; 'الجدول'!D5 &amp; CHAR(10) &amp; "• " &amp; 'الجدول'!D6 &amp; CHAR(10) &amp; CHAR(10) &amp; "■■ " &amp; 'الجدول'!E1 &amp; " ■■" &amp; CHAR(10) &amp; "• " &amp; 'الجدول'!E2 &amp; CHAR(10) &amp; "• " &amp; 'الجدول'!E3 &amp; CHAR(10) &amp; "• " &amp; 'الجدول'!E4 &amp; CHAR(10) &amp; "• " &amp; 'الجدول'!E5 &amp; CHAR(10) &amp; "• " &amp; 'الجدول'!E6 &amp; CHAR(10) &amp; CHAR(10) &amp; "■■ " &amp; 'الجدول'!F1 &amp; " ■■" &amp; CHAR(10) &amp; "• " &amp; 'الجدول'!F2 &amp; CHAR(10) &amp; "• " &amp; 'الجدول'!F3 &amp; CHAR(10) &amp; "• " &amp; 'الجدول'!F4 &amp; CHAR(10) &amp; "• " &amp; 'الجدول'!F5 &amp; CHAR(10) &amp; "• " &amp; 'الجدول'!F6 &amp; CHAR(10) &amp; CHAR(10) &amp; "■■ " &amp; 'الجدول'!G1 &amp; " ■■" &amp; CHAR(10) &amp; "• " &amp; 'الجدول'!G2 &amp; CHAR(10) &amp; "• " &amp; 'الجدول'!G3 &amp; CHAR(10) &amp; "• " &amp; 'الجدول'!G4 &amp; CHAR(10) &amp; "• " &amp; 'الجدول'!G5 &amp; CHAR(10) &amp; "• " &amp; 'الجدول'!G6 &amp; CHAR(10) &amp; CHAR(10) &amp; "■■ " &amp; 'الجدول'!H1 &amp; " ■■" &amp; CHAR(10) &amp; "• " &amp; 'الجدول'!H2 &amp; CHAR(10) &amp; "• " &amp; 'الجدول'!H3 &amp; CHAR(10) &amp; "• " &amp; 'الجدول'!H4 &amp; CHAR(10) &amp; "• " &amp; 'الجدول'!H5 &amp; CHAR(10) &amp; "• " &amp; 'الجدول'!H6 &amp; CHAR(10) &amp; CHAR(10) &amp; "■■ " &amp; 'الجدول'!I1 &amp; " ■■" &amp; CHAR(10) &amp; "• " &amp; 'الجدول'!I2 &amp; CHAR(10) &amp; "• " &amp; 'الجدول'!I3 &amp; CHAR(10) &amp; "• " &amp; 'الجدول'!I4 &amp; CHAR(10) &amp; "• " &amp; 'الجدول'!I5 &amp; CHAR(10) &amp; "• " &amp; 'الجدول'!I6 &amp; CHAR(10) &amp; CHAR(10) &amp; "■■ " &amp; 'الجدول'!J1 &amp; " ■■" &amp; CHAR(10) &amp; "• " &amp; 'الجدول'!J2 &amp; CHAR(10) &amp; "• " &amp; 'الجدول'!J3 &amp; CHAR(10) &amp; "• " &amp; 'الجدول'!J4 &amp; CHAR(10) &amp; "• " &amp; 'الجدول'!J5 &amp; CHAR(10) &amp; "• " &amp; 'الجدول'!J6 &amp; CHAR(10) &amp; CHAR(10) &amp; "■■ " &amp; 'الجدول'!K1 &amp; " ■■" &amp; CHAR(10) &amp; "• " &amp; 'الجدول'!K2 &amp; CHAR(10) &amp; "• " &amp; 'الجدول'!K3 &amp; CHAR(10) &amp; "• " &amp; 'الجدول'!K4 &amp; CHAR(10) &amp; "• " &amp; 'الجدول'!K5 &amp; CHAR(10) &amp; "• " &amp; 'الجدول'!K6 &amp; CHAR(10) &amp; CHAR(10) &amp; "■■ " &amp; 'الجدول'!L1 &amp; " ■■" &amp; CHAR(10) &amp; "• " &amp; 'الجدول'!L2 &amp; CHAR(10) &amp; "• " &amp; 'الجدول'!L3 &amp; CHAR(10) &amp; "• " &amp; 'الجدول'!L4 &amp; CHAR(10) &amp; "• " &amp; 'الجدول'!L5 &amp; CHAR(10) &amp; "• " &amp; 'الجدول'!L6 &amp; CHAR(10) &amp; CHAR(10) &amp; "■■ " &amp; 'الجدول'!M1 &amp; " ■■" &amp; CHAR(10) &amp; "• " &amp; 'الجدول'!M2 &amp; CHAR(10) &amp; "• " &amp; 'الجدول'!M3 &amp; CHAR(10) &amp; "• " &amp; 'الجدول'!M4 &amp; CHAR(10) &amp; "• " &amp; 'الجدول'!M5 &amp; CHAR(10) &amp; "• " &amp; 'الجدول'!M6 &amp; CHAR(10) &amp; CHAR(10) &amp; "■■ " &amp; 'الجدول'!N1 &amp; " ■■" &amp; CHAR(10) &amp; "• " &amp; 'الجدول'!N2 &amp; CHAR(10) &amp; "• " &amp; 'الجدول'!N3 &amp; CHAR(10) &amp; "• " &amp; 'الجدول'!N4 &amp; CHAR(10) &amp; "• " &amp; 'الجدول'!N5 &amp; CHAR(10) &amp; "• " &amp; 'الجدول'!N6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هديل هشام منصور الوشاحي
(01227221344)
• دانه طارق
(01012809042)
• احمد حسين أحمد
(01001877491)
• ----------
• ----------
■■ WARD-DAY-☀️ ■■
• Sara Refaat
(01220039613)
• عمرو عبدالغفار حمزة
(01014246636)
• رؤى أحمد عبدالحميد البليهي
(01021284862)
• محمد محمود ابراهيم
(01112057358)
• مينا رومانى عبده
(01212866642)
■■ WARD-NIGHT-🌙 ■■
• يوسف عاطف رزق الله
(01148183647)
• نورهان محمد
(0112 826 8287)
• احمد ايهاب محمد عواد
(01032298339)
• ----------
• ----------
</v>
      </c>
      <c r="C2" s="3" t="str">
        <f>HYPERLINK("#الجدول!A" &amp; 1, "الجدول الأساسي")</f>
        <v>الجدول الأساسي</v>
      </c>
    </row>
    <row r="3">
      <c r="A3" s="1" t="s">
        <v>27</v>
      </c>
      <c r="B3" s="5" t="str">
        <f>"" &amp; "■■ " &amp; 'الجدول'!B1 &amp; " ■■" &amp; CHAR(10) &amp; "• " &amp; 'الجدول'!B7 &amp; CHAR(10) &amp; "• " &amp; 'الجدول'!B8 &amp; CHAR(10) &amp; "• " &amp; 'الجدول'!B9 &amp; CHAR(10) &amp; "• " &amp; 'الجدول'!B10 &amp; CHAR(10) &amp; "• " &amp; 'الجدول'!B11 &amp; CHAR(10) &amp; "• " &amp; 'الجدول'!B12 &amp; CHAR(10) &amp; "• " &amp; 'الجدول'!B13 &amp; CHAR(10) &amp; "• " &amp; 'الجدول'!B14 &amp; CHAR(10) &amp; "• " &amp; 'الجدول'!B15 &amp; CHAR(10) &amp; "• " &amp; 'الجدول'!B16 &amp; CHAR(10) &amp; CHAR(10) &amp; "■■ " &amp; 'الجدول'!C1 &amp; " ■■" &amp; CHAR(10) &amp; "• " &amp; 'الجدول'!C7 &amp; CHAR(10) &amp; "• " &amp; 'الجدول'!C8 &amp; CHAR(10) &amp; "• " &amp; 'الجدول'!C9 &amp; CHAR(10) &amp; "• " &amp; 'الجدول'!C10 &amp; CHAR(10) &amp; "• " &amp; 'الجدول'!C11 &amp; CHAR(10) &amp; "• " &amp; 'الجدول'!C12 &amp; CHAR(10) &amp; "• " &amp; 'الجدول'!C13 &amp; CHAR(10) &amp; "• " &amp; 'الجدول'!C14 &amp; CHAR(10) &amp; "• " &amp; 'الجدول'!C15 &amp; CHAR(10) &amp; "• " &amp; 'الجدول'!C16 &amp; CHAR(10) &amp; CHAR(10) &amp; "■■ " &amp; 'الجدول'!D1 &amp; " ■■" &amp; CHAR(10) &amp; "• " &amp; 'الجدول'!D7 &amp; CHAR(10) &amp; "• " &amp; 'الجدول'!D8 &amp; CHAR(10) &amp; "• " &amp; 'الجدول'!D9 &amp; CHAR(10) &amp; "• " &amp; 'الجدول'!D10 &amp; CHAR(10) &amp; "• " &amp; 'الجدول'!D11 &amp; CHAR(10) &amp; "• " &amp; 'الجدول'!D12 &amp; CHAR(10) &amp; "• " &amp; 'الجدول'!D13 &amp; CHAR(10) &amp; "• " &amp; 'الجدول'!D14 &amp; CHAR(10) &amp; "• " &amp; 'الجدول'!D15 &amp; CHAR(10) &amp; "• " &amp; 'الجدول'!D16 &amp; CHAR(10) &amp; CHAR(10) &amp; "■■ " &amp; 'الجدول'!E1 &amp; " ■■" &amp; CHAR(10) &amp; "• " &amp; 'الجدول'!E7 &amp; CHAR(10) &amp; "• " &amp; 'الجدول'!E8 &amp; CHAR(10) &amp; "• " &amp; 'الجدول'!E9 &amp; CHAR(10) &amp; "• " &amp; 'الجدول'!E10 &amp; CHAR(10) &amp; "• " &amp; 'الجدول'!E11 &amp; CHAR(10) &amp; "• " &amp; 'الجدول'!E12 &amp; CHAR(10) &amp; "• " &amp; 'الجدول'!E13 &amp; CHAR(10) &amp; "• " &amp; 'الجدول'!E14 &amp; CHAR(10) &amp; "• " &amp; 'الجدول'!E15 &amp; CHAR(10) &amp; "• " &amp; 'الجدول'!E16 &amp; CHAR(10) &amp; CHAR(10) &amp; "■■ " &amp; 'الجدول'!F1 &amp; " ■■" &amp; CHAR(10) &amp; "• " &amp; 'الجدول'!F7 &amp; CHAR(10) &amp; "• " &amp; 'الجدول'!F8 &amp; CHAR(10) &amp; "• " &amp; 'الجدول'!F9 &amp; CHAR(10) &amp; "• " &amp; 'الجدول'!F10 &amp; CHAR(10) &amp; "• " &amp; 'الجدول'!F11 &amp; CHAR(10) &amp; "• " &amp; 'الجدول'!F12 &amp; CHAR(10) &amp; "• " &amp; 'الجدول'!F13 &amp; CHAR(10) &amp; "• " &amp; 'الجدول'!F14 &amp; CHAR(10) &amp; "• " &amp; 'الجدول'!F15 &amp; CHAR(10) &amp; "• " &amp; 'الجدول'!F16 &amp; CHAR(10) &amp; CHAR(10) &amp; "■■ " &amp; 'الجدول'!G1 &amp; " ■■" &amp; CHAR(10) &amp; "• " &amp; 'الجدول'!G7 &amp; CHAR(10) &amp; "• " &amp; 'الجدول'!G8 &amp; CHAR(10) &amp; "• " &amp; 'الجدول'!G9 &amp; CHAR(10) &amp; "• " &amp; 'الجدول'!G10 &amp; CHAR(10) &amp; "• " &amp; 'الجدول'!G11 &amp; CHAR(10) &amp; "• " &amp; 'الجدول'!G12 &amp; CHAR(10) &amp; "• " &amp; 'الجدول'!G13 &amp; CHAR(10) &amp; "• " &amp; 'الجدول'!G14 &amp; CHAR(10) &amp; "• " &amp; 'الجدول'!G15 &amp; CHAR(10) &amp; "• " &amp; 'الجدول'!G16 &amp; CHAR(10) &amp; CHAR(10) &amp; "■■ " &amp; 'الجدول'!H1 &amp; " ■■" &amp; CHAR(10) &amp; "• " &amp; 'الجدول'!H7 &amp; CHAR(10) &amp; "• " &amp; 'الجدول'!H8 &amp; CHAR(10) &amp; "• " &amp; 'الجدول'!H9 &amp; CHAR(10) &amp; "• " &amp; 'الجدول'!H10 &amp; CHAR(10) &amp; "• " &amp; 'الجدول'!H11 &amp; CHAR(10) &amp; "• " &amp; 'الجدول'!H12 &amp; CHAR(10) &amp; "• " &amp; 'الجدول'!H13 &amp; CHAR(10) &amp; "• " &amp; 'الجدول'!H14 &amp; CHAR(10) &amp; "• " &amp; 'الجدول'!H15 &amp; CHAR(10) &amp; "• " &amp; 'الجدول'!H16 &amp; CHAR(10) &amp; CHAR(10) &amp; "■■ " &amp; 'الجدول'!I1 &amp; " ■■" &amp; CHAR(10) &amp; "• " &amp; 'الجدول'!I7 &amp; CHAR(10) &amp; "• " &amp; 'الجدول'!I8 &amp; CHAR(10) &amp; "• " &amp; 'الجدول'!I9 &amp; CHAR(10) &amp; "• " &amp; 'الجدول'!I10 &amp; CHAR(10) &amp; "• " &amp; 'الجدول'!I11 &amp; CHAR(10) &amp; "• " &amp; 'الجدول'!I12 &amp; CHAR(10) &amp; "• " &amp; 'الجدول'!I13 &amp; CHAR(10) &amp; "• " &amp; 'الجدول'!I14 &amp; CHAR(10) &amp; "• " &amp; 'الجدول'!I15 &amp; CHAR(10) &amp; "• " &amp; 'الجدول'!I16 &amp; CHAR(10) &amp; CHAR(10) &amp; "■■ " &amp; 'الجدول'!J1 &amp; " ■■" &amp; CHAR(10) &amp; "• " &amp; 'الجدول'!J7 &amp; CHAR(10) &amp; "• " &amp; 'الجدول'!J8 &amp; CHAR(10) &amp; "• " &amp; 'الجدول'!J9 &amp; CHAR(10) &amp; "• " &amp; 'الجدول'!J10 &amp; CHAR(10) &amp; "• " &amp; 'الجدول'!J11 &amp; CHAR(10) &amp; "• " &amp; 'الجدول'!J12 &amp; CHAR(10) &amp; "• " &amp; 'الجدول'!J13 &amp; CHAR(10) &amp; "• " &amp; 'الجدول'!J14 &amp; CHAR(10) &amp; "• " &amp; 'الجدول'!J15 &amp; CHAR(10) &amp; "• " &amp; 'الجدول'!J16 &amp; CHAR(10) &amp; CHAR(10) &amp; "■■ " &amp; 'الجدول'!K1 &amp; " ■■" &amp; CHAR(10) &amp; "• " &amp; 'الجدول'!K7 &amp; CHAR(10) &amp; "• " &amp; 'الجدول'!K8 &amp; CHAR(10) &amp; "• " &amp; 'الجدول'!K9 &amp; CHAR(10) &amp; "• " &amp; 'الجدول'!K10 &amp; CHAR(10) &amp; "• " &amp; 'الجدول'!K11 &amp; CHAR(10) &amp; "• " &amp; 'الجدول'!K12 &amp; CHAR(10) &amp; "• " &amp; 'الجدول'!K13 &amp; CHAR(10) &amp; "• " &amp; 'الجدول'!K14 &amp; CHAR(10) &amp; "• " &amp; 'الجدول'!K15 &amp; CHAR(10) &amp; "• " &amp; 'الجدول'!K16 &amp; CHAR(10) &amp; CHAR(10) &amp; "■■ " &amp; 'الجدول'!L1 &amp; " ■■" &amp; CHAR(10) &amp; "• " &amp; 'الجدول'!L7 &amp; CHAR(10) &amp; "• " &amp; 'الجدول'!L8 &amp; CHAR(10) &amp; "• " &amp; 'الجدول'!L9 &amp; CHAR(10) &amp; "• " &amp; 'الجدول'!L10 &amp; CHAR(10) &amp; "• " &amp; 'الجدول'!L11 &amp; CHAR(10) &amp; "• " &amp; 'الجدول'!L12 &amp; CHAR(10) &amp; "• " &amp; 'الجدول'!L13 &amp; CHAR(10) &amp; "• " &amp; 'الجدول'!L14 &amp; CHAR(10) &amp; "• " &amp; 'الجدول'!L15 &amp; CHAR(10) &amp; "• " &amp; 'الجدول'!L16 &amp; CHAR(10) &amp; CHAR(10) &amp; "■■ " &amp; 'الجدول'!M1 &amp; " ■■" &amp; CHAR(10) &amp; "• " &amp; 'الجدول'!M7 &amp; CHAR(10) &amp; "• " &amp; 'الجدول'!M8 &amp; CHAR(10) &amp; "• " &amp; 'الجدول'!M9 &amp; CHAR(10) &amp; "• " &amp; 'الجدول'!M10 &amp; CHAR(10) &amp; "• " &amp; 'الجدول'!M11 &amp; CHAR(10) &amp; "• " &amp; 'الجدول'!M12 &amp; CHAR(10) &amp; "• " &amp; 'الجدول'!M13 &amp; CHAR(10) &amp; "• " &amp; 'الجدول'!M14 &amp; CHAR(10) &amp; "• " &amp; 'الجدول'!M15 &amp; CHAR(10) &amp; "• " &amp; 'الجدول'!M16 &amp; CHAR(10) &amp; CHAR(10) &amp; "■■ " &amp; 'الجدول'!N1 &amp; " ■■" &amp; CHAR(10) &amp; "• " &amp; 'الجدول'!N7 &amp; CHAR(10) &amp; "• " &amp; 'الجدول'!N8 &amp; CHAR(10) &amp; "• " &amp; 'الجدول'!N9 &amp; CHAR(10) &amp; "• " &amp; 'الجدول'!N10 &amp; CHAR(10) &amp; "• " &amp; 'الجدول'!N11 &amp; CHAR(10) &amp; "• " &amp; 'الجدول'!N12 &amp; CHAR(10) &amp; "• " &amp; 'الجدول'!N13 &amp; CHAR(10) &amp; "• " &amp; 'الجدول'!N14 &amp; CHAR(10) &amp; "• " &amp; 'الجدول'!N15 &amp; CHAR(10) &amp; "• " &amp; 'الجدول'!N16 &amp; CHAR(10) &amp; CHAR(10)</f>
        <v>■■ ER ADMISSION-NIGHT-🚨🌙 ■■
• Ziad said mohamed
(01028577876)
• ----------
• ----------
• ----------
• ----------
• ----------
• ----------
• ----------
• ----------
• ----------
■■ ER ADMISSIONS -DAY-🚨☀️ ■■
• Sara Refaat
(01220039613)
• ----------
• ----------
• ----------
• ----------
• ----------
• ----------
• ----------
• ----------
• ----------
■■ ER GENERAL-DAY-🚨☀️ ■■
• حنان النبوى محمد
(01067888751)
• هديل نادي محند
(01033032220)
• محمود عبد المحسن إبراهيم
(01062086612)
• منه الله هشام السيد
(01002996214)
• سلمى أبوالعلا
(01124166114)
• بلال جودة
(01066199644)
• بلال أحمد
(01066883767)
• Youssef elsemary
(01126286820)
• عمر حسن محمد حسن حجازي
(01019701020)
• شيماء رمضان سعد
(01021468731)
■■ ER GENERAL-NIGHT-🚨🌙 ■■
• مي طارق نهاد
(01287477488)
• شدو محمد شلتوت
(1550336384)
• كارين باسم صومائيل
(01274209975)
• زينة أشرف حسين
(01067196820)
• شهاب احمد حلمي
(01055979002)
• محمد عمرو محمد عبدالباقي
(01151653320)
• Marwan Ayman
(01149894940)
• محمد محمود ابراهيم
(01112057358)
• أحمد زيدان
(01110524147)
• ----------
■■ ER PT-DAY-🚨☀️ ■■
• مينا رومانى عبده
(01212866642)
• عبدالمسيح مكرم
(01203267885)
• رؤى أحمد عبدالحميد البليهي
(01021284862)
• منار عواد عبدالعال عواد
(01001915861)
• مصطفى محمد علي محمد بدر
(01150245681)
• استيفن مدحت منير
(01200226122)
• مها حسين السيد
(01012349071)
• هديل هشام منصور الوشاحي
(01227221344)
• منار احمد سعيد
(01092708033)
• ----------
■■ ER PT-NIGHT-🚨🌙 ■■
• احمد حسين أحمد
(01001877491)
• سندس أحمد سيد
(01156131096)
• احمد ناصر
(01553479200)
• يوسف طه السيد
(01207620695)
• احمد حسام الدين صلاح
(01065567736)
• Mostafa Ismail
(01022400525)
• عمر محمد سيد
(01000688544)
• نورهان محمد
(0112 826 8287)
• احمدنوید قیومی
(01104573242)
• ----------
■■ ER TRIAGE-DAY-🚨☀️ ■■
• روان ياسر سليم
(01005005160)
• ----------
• ----------
• ----------
• ----------
• ----------
• ----------
• ----------
• ----------
• ----------
■■ ER TRIAGE-NIGHT-🚨🌙 ■■
• عمرو عبدالغفار حمزة
(01014246636)
• ----------
• ----------
• ----------
• ----------
• ----------
• ----------
• ----------
• ----------
• ----------
■■ ER WARD-DAY-🚨☀️ ■■
• Alaa mahmoud El haddad
(01033882560)
• منة السيد عبد الباقي
(01274588193)
• سعيد السيد محمد السيد محمد سابق
(01203394950)
• مصطفى عبد الراضى صديق
(01226696153)
• عمرو وائل سرور
(01023140340)
• كارين روماني راشد
(01102663062)
• ----------
• ----------
• ----------
• ----------
■■ ER WARD-NIGHT-🚨🌙 ■■
• محمد احمد بسام الجمل
(01091463337)
• عبدالله احمد
(01020242571)
• احمد عزت الشيخ
(01226872660)
• تقى عماد حسني
(01119716276)
• مصطفى عبد الراضى صديق
(01226696153)
• عمرو وائل سرور
(01023140340)
• ----------
• ----------
• ----------
• ----------
■■ 🗡️LISTA ■■
• ----------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• ----------
</v>
      </c>
      <c r="C3" s="3" t="str">
        <f>HYPERLINK("#الجدول!A" &amp; 6, "الجدول الأساسي")</f>
        <v>الجدول الأساسي</v>
      </c>
    </row>
    <row r="4">
      <c r="A4" s="1" t="s">
        <v>71</v>
      </c>
      <c r="B4" s="5" t="str">
        <f>"" &amp; "■■ " &amp; 'الجدول'!B1 &amp; " ■■" &amp; CHAR(10) &amp; "• " &amp; 'الجدول'!B17 &amp; CHAR(10) &amp; "• " &amp; 'الجدول'!B18 &amp; CHAR(10) &amp; "• " &amp; 'الجدول'!B19 &amp; CHAR(10) &amp; "• " &amp; 'الجدول'!B20 &amp; CHAR(10) &amp; "• " &amp; 'الجدول'!B21 &amp; CHAR(10) &amp; "• " &amp; 'الجدول'!B22 &amp; CHAR(10) &amp; "• " &amp; 'الجدول'!B23 &amp; CHAR(10) &amp; "• " &amp; 'الجدول'!B24 &amp; CHAR(10) &amp; CHAR(10) &amp; "■■ " &amp; 'الجدول'!C1 &amp; " ■■" &amp; CHAR(10) &amp; "• " &amp; 'الجدول'!C17 &amp; CHAR(10) &amp; "• " &amp; 'الجدول'!C18 &amp; CHAR(10) &amp; "• " &amp; 'الجدول'!C19 &amp; CHAR(10) &amp; "• " &amp; 'الجدول'!C20 &amp; CHAR(10) &amp; "• " &amp; 'الجدول'!C21 &amp; CHAR(10) &amp; "• " &amp; 'الجدول'!C22 &amp; CHAR(10) &amp; "• " &amp; 'الجدول'!C23 &amp; CHAR(10) &amp; "• " &amp; 'الجدول'!C24 &amp; CHAR(10) &amp; CHAR(10) &amp; "■■ " &amp; 'الجدول'!D1 &amp; " ■■" &amp; CHAR(10) &amp; "• " &amp; 'الجدول'!D17 &amp; CHAR(10) &amp; "• " &amp; 'الجدول'!D18 &amp; CHAR(10) &amp; "• " &amp; 'الجدول'!D19 &amp; CHAR(10) &amp; "• " &amp; 'الجدول'!D20 &amp; CHAR(10) &amp; "• " &amp; 'الجدول'!D21 &amp; CHAR(10) &amp; "• " &amp; 'الجدول'!D22 &amp; CHAR(10) &amp; "• " &amp; 'الجدول'!D23 &amp; CHAR(10) &amp; "• " &amp; 'الجدول'!D24 &amp; CHAR(10) &amp; CHAR(10) &amp; "■■ " &amp; 'الجدول'!E1 &amp; " ■■" &amp; CHAR(10) &amp; "• " &amp; 'الجدول'!E17 &amp; CHAR(10) &amp; "• " &amp; 'الجدول'!E18 &amp; CHAR(10) &amp; "• " &amp; 'الجدول'!E19 &amp; CHAR(10) &amp; "• " &amp; 'الجدول'!E20 &amp; CHAR(10) &amp; "• " &amp; 'الجدول'!E21 &amp; CHAR(10) &amp; "• " &amp; 'الجدول'!E22 &amp; CHAR(10) &amp; "• " &amp; 'الجدول'!E23 &amp; CHAR(10) &amp; "• " &amp; 'الجدول'!E24 &amp; CHAR(10) &amp; CHAR(10) &amp; "■■ " &amp; 'الجدول'!F1 &amp; " ■■" &amp; CHAR(10) &amp; "• " &amp; 'الجدول'!F17 &amp; CHAR(10) &amp; "• " &amp; 'الجدول'!F18 &amp; CHAR(10) &amp; "• " &amp; 'الجدول'!F19 &amp; CHAR(10) &amp; "• " &amp; 'الجدول'!F20 &amp; CHAR(10) &amp; "• " &amp; 'الجدول'!F21 &amp; CHAR(10) &amp; "• " &amp; 'الجدول'!F22 &amp; CHAR(10) &amp; "• " &amp; 'الجدول'!F23 &amp; CHAR(10) &amp; "• " &amp; 'الجدول'!F24 &amp; CHAR(10) &amp; CHAR(10) &amp; "■■ " &amp; 'الجدول'!G1 &amp; " ■■" &amp; CHAR(10) &amp; "• " &amp; 'الجدول'!G17 &amp; CHAR(10) &amp; "• " &amp; 'الجدول'!G18 &amp; CHAR(10) &amp; "• " &amp; 'الجدول'!G19 &amp; CHAR(10) &amp; "• " &amp; 'الجدول'!G20 &amp; CHAR(10) &amp; "• " &amp; 'الجدول'!G21 &amp; CHAR(10) &amp; "• " &amp; 'الجدول'!G22 &amp; CHAR(10) &amp; "• " &amp; 'الجدول'!G23 &amp; CHAR(10) &amp; "• " &amp; 'الجدول'!G24 &amp; CHAR(10) &amp; CHAR(10) &amp; "■■ " &amp; 'الجدول'!H1 &amp; " ■■" &amp; CHAR(10) &amp; "• " &amp; 'الجدول'!H17 &amp; CHAR(10) &amp; "• " &amp; 'الجدول'!H18 &amp; CHAR(10) &amp; "• " &amp; 'الجدول'!H19 &amp; CHAR(10) &amp; "• " &amp; 'الجدول'!H20 &amp; CHAR(10) &amp; "• " &amp; 'الجدول'!H21 &amp; CHAR(10) &amp; "• " &amp; 'الجدول'!H22 &amp; CHAR(10) &amp; "• " &amp; 'الجدول'!H23 &amp; CHAR(10) &amp; "• " &amp; 'الجدول'!H24 &amp; CHAR(10) &amp; CHAR(10) &amp; "■■ " &amp; 'الجدول'!I1 &amp; " ■■" &amp; CHAR(10) &amp; "• " &amp; 'الجدول'!I17 &amp; CHAR(10) &amp; "• " &amp; 'الجدول'!I18 &amp; CHAR(10) &amp; "• " &amp; 'الجدول'!I19 &amp; CHAR(10) &amp; "• " &amp; 'الجدول'!I20 &amp; CHAR(10) &amp; "• " &amp; 'الجدول'!I21 &amp; CHAR(10) &amp; "• " &amp; 'الجدول'!I22 &amp; CHAR(10) &amp; "• " &amp; 'الجدول'!I23 &amp; CHAR(10) &amp; "• " &amp; 'الجدول'!I24 &amp; CHAR(10) &amp; CHAR(10) &amp; "■■ " &amp; 'الجدول'!J1 &amp; " ■■" &amp; CHAR(10) &amp; "• " &amp; 'الجدول'!J17 &amp; CHAR(10) &amp; "• " &amp; 'الجدول'!J18 &amp; CHAR(10) &amp; "• " &amp; 'الجدول'!J19 &amp; CHAR(10) &amp; "• " &amp; 'الجدول'!J20 &amp; CHAR(10) &amp; "• " &amp; 'الجدول'!J21 &amp; CHAR(10) &amp; "• " &amp; 'الجدول'!J22 &amp; CHAR(10) &amp; "• " &amp; 'الجدول'!J23 &amp; CHAR(10) &amp; "• " &amp; 'الجدول'!J24 &amp; CHAR(10) &amp; CHAR(10) &amp; "■■ " &amp; 'الجدول'!K1 &amp; " ■■" &amp; CHAR(10) &amp; "• " &amp; 'الجدول'!K17 &amp; CHAR(10) &amp; "• " &amp; 'الجدول'!K18 &amp; CHAR(10) &amp; "• " &amp; 'الجدول'!K19 &amp; CHAR(10) &amp; "• " &amp; 'الجدول'!K20 &amp; CHAR(10) &amp; "• " &amp; 'الجدول'!K21 &amp; CHAR(10) &amp; "• " &amp; 'الجدول'!K22 &amp; CHAR(10) &amp; "• " &amp; 'الجدول'!K23 &amp; CHAR(10) &amp; "• " &amp; 'الجدول'!K24 &amp; CHAR(10) &amp; CHAR(10) &amp; "■■ " &amp; 'الجدول'!L1 &amp; " ■■" &amp; CHAR(10) &amp; "• " &amp; 'الجدول'!L17 &amp; CHAR(10) &amp; "• " &amp; 'الجدول'!L18 &amp; CHAR(10) &amp; "• " &amp; 'الجدول'!L19 &amp; CHAR(10) &amp; "• " &amp; 'الجدول'!L20 &amp; CHAR(10) &amp; "• " &amp; 'الجدول'!L21 &amp; CHAR(10) &amp; "• " &amp; 'الجدول'!L22 &amp; CHAR(10) &amp; "• " &amp; 'الجدول'!L23 &amp; CHAR(10) &amp; "• " &amp; 'الجدول'!L24 &amp; CHAR(10) &amp; CHAR(10) &amp; "■■ " &amp; 'الجدول'!M1 &amp; " ■■" &amp; CHAR(10) &amp; "• " &amp; 'الجدول'!M17 &amp; CHAR(10) &amp; "• " &amp; 'الجدول'!M18 &amp; CHAR(10) &amp; "• " &amp; 'الجدول'!M19 &amp; CHAR(10) &amp; "• " &amp; 'الجدول'!M20 &amp; CHAR(10) &amp; "• " &amp; 'الجدول'!M21 &amp; CHAR(10) &amp; "• " &amp; 'الجدول'!M22 &amp; CHAR(10) &amp; "• " &amp; 'الجدول'!M23 &amp; CHAR(10) &amp; "• " &amp; 'الجدول'!M24 &amp; CHAR(10) &amp; CHAR(10) &amp; "■■ " &amp; 'الجدول'!N1 &amp; " ■■" &amp; CHAR(10) &amp; "• " &amp; 'الجدول'!N17 &amp; CHAR(10) &amp; "• " &amp; 'الجدول'!N18 &amp; CHAR(10) &amp; "• " &amp; 'الجدول'!N19 &amp; CHAR(10) &amp; "• " &amp; 'الجدول'!N20 &amp; CHAR(10) &amp; "• " &amp; 'الجدول'!N21 &amp; CHAR(10) &amp; "• " &amp; 'الجدول'!N22 &amp; CHAR(10) &amp; "• " &amp; 'الجدول'!N23 &amp; CHAR(10) &amp; "• " &amp; 'الجدول'!N24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مي خالد ابوزيد
(01023578224)
• عبدالمسيح مكرم
(01203267885)
• أحمد رجب محمد
(01273127265)
• مصطفى محمد علي محمد بدر
(01150245681)
• دانه طارق
(01012809042)
• محمد خالد محمد
(01008204601)
• كارين روماني راشد
(01102663062)
• بلال أحمد
(01066883767)
■■ WARD-NIGHT-🌙 ■■
• عمرو وائل سرور
(01023140340)
• مريم السيد أحمد خيرالله
(01099882992)
• نورهان محمد
(0112 826 8287)
• شهاب احمد حلمي
(01055979002)
• تقى عماد حسني
(01119716276)
• ----------
• ----------
• ----------
</v>
      </c>
      <c r="C4" s="3" t="str">
        <f>HYPERLINK("#الجدول!A" &amp; 16, "الجدول الأساسي")</f>
        <v>الجدول الأساسي</v>
      </c>
    </row>
    <row r="5">
      <c r="A5" s="1" t="s">
        <v>76</v>
      </c>
      <c r="B5" s="5" t="str">
        <f>"" &amp; "■■ " &amp; 'الجدول'!B1 &amp; " ■■" &amp; CHAR(10) &amp; "• " &amp; 'الجدول'!B25 &amp; CHAR(10) &amp; "• " &amp; 'الجدول'!B26 &amp; CHAR(10) &amp; "• " &amp; 'الجدول'!B27 &amp; CHAR(10) &amp; "• " &amp; 'الجدول'!B28 &amp; CHAR(10) &amp; "• " &amp; 'الجدول'!B29 &amp; CHAR(10) &amp; "• " &amp; 'الجدول'!B30 &amp; CHAR(10) &amp; CHAR(10) &amp; "■■ " &amp; 'الجدول'!C1 &amp; " ■■" &amp; CHAR(10) &amp; "• " &amp; 'الجدول'!C25 &amp; CHAR(10) &amp; "• " &amp; 'الجدول'!C26 &amp; CHAR(10) &amp; "• " &amp; 'الجدول'!C27 &amp; CHAR(10) &amp; "• " &amp; 'الجدول'!C28 &amp; CHAR(10) &amp; "• " &amp; 'الجدول'!C29 &amp; CHAR(10) &amp; "• " &amp; 'الجدول'!C30 &amp; CHAR(10) &amp; CHAR(10) &amp; "■■ " &amp; 'الجدول'!D1 &amp; " ■■" &amp; CHAR(10) &amp; "• " &amp; 'الجدول'!D25 &amp; CHAR(10) &amp; "• " &amp; 'الجدول'!D26 &amp; CHAR(10) &amp; "• " &amp; 'الجدول'!D27 &amp; CHAR(10) &amp; "• " &amp; 'الجدول'!D28 &amp; CHAR(10) &amp; "• " &amp; 'الجدول'!D29 &amp; CHAR(10) &amp; "• " &amp; 'الجدول'!D30 &amp; CHAR(10) &amp; CHAR(10) &amp; "■■ " &amp; 'الجدول'!E1 &amp; " ■■" &amp; CHAR(10) &amp; "• " &amp; 'الجدول'!E25 &amp; CHAR(10) &amp; "• " &amp; 'الجدول'!E26 &amp; CHAR(10) &amp; "• " &amp; 'الجدول'!E27 &amp; CHAR(10) &amp; "• " &amp; 'الجدول'!E28 &amp; CHAR(10) &amp; "• " &amp; 'الجدول'!E29 &amp; CHAR(10) &amp; "• " &amp; 'الجدول'!E30 &amp; CHAR(10) &amp; CHAR(10) &amp; "■■ " &amp; 'الجدول'!F1 &amp; " ■■" &amp; CHAR(10) &amp; "• " &amp; 'الجدول'!F25 &amp; CHAR(10) &amp; "• " &amp; 'الجدول'!F26 &amp; CHAR(10) &amp; "• " &amp; 'الجدول'!F27 &amp; CHAR(10) &amp; "• " &amp; 'الجدول'!F28 &amp; CHAR(10) &amp; "• " &amp; 'الجدول'!F29 &amp; CHAR(10) &amp; "• " &amp; 'الجدول'!F30 &amp; CHAR(10) &amp; CHAR(10) &amp; "■■ " &amp; 'الجدول'!G1 &amp; " ■■" &amp; CHAR(10) &amp; "• " &amp; 'الجدول'!G25 &amp; CHAR(10) &amp; "• " &amp; 'الجدول'!G26 &amp; CHAR(10) &amp; "• " &amp; 'الجدول'!G27 &amp; CHAR(10) &amp; "• " &amp; 'الجدول'!G28 &amp; CHAR(10) &amp; "• " &amp; 'الجدول'!G29 &amp; CHAR(10) &amp; "• " &amp; 'الجدول'!G30 &amp; CHAR(10) &amp; CHAR(10) &amp; "■■ " &amp; 'الجدول'!H1 &amp; " ■■" &amp; CHAR(10) &amp; "• " &amp; 'الجدول'!H25 &amp; CHAR(10) &amp; "• " &amp; 'الجدول'!H26 &amp; CHAR(10) &amp; "• " &amp; 'الجدول'!H27 &amp; CHAR(10) &amp; "• " &amp; 'الجدول'!H28 &amp; CHAR(10) &amp; "• " &amp; 'الجدول'!H29 &amp; CHAR(10) &amp; "• " &amp; 'الجدول'!H30 &amp; CHAR(10) &amp; CHAR(10) &amp; "■■ " &amp; 'الجدول'!I1 &amp; " ■■" &amp; CHAR(10) &amp; "• " &amp; 'الجدول'!I25 &amp; CHAR(10) &amp; "• " &amp; 'الجدول'!I26 &amp; CHAR(10) &amp; "• " &amp; 'الجدول'!I27 &amp; CHAR(10) &amp; "• " &amp; 'الجدول'!I28 &amp; CHAR(10) &amp; "• " &amp; 'الجدول'!I29 &amp; CHAR(10) &amp; "• " &amp; 'الجدول'!I30 &amp; CHAR(10) &amp; CHAR(10) &amp; "■■ " &amp; 'الجدول'!J1 &amp; " ■■" &amp; CHAR(10) &amp; "• " &amp; 'الجدول'!J25 &amp; CHAR(10) &amp; "• " &amp; 'الجدول'!J26 &amp; CHAR(10) &amp; "• " &amp; 'الجدول'!J27 &amp; CHAR(10) &amp; "• " &amp; 'الجدول'!J28 &amp; CHAR(10) &amp; "• " &amp; 'الجدول'!J29 &amp; CHAR(10) &amp; "• " &amp; 'الجدول'!J30 &amp; CHAR(10) &amp; CHAR(10) &amp; "■■ " &amp; 'الجدول'!K1 &amp; " ■■" &amp; CHAR(10) &amp; "• " &amp; 'الجدول'!K25 &amp; CHAR(10) &amp; "• " &amp; 'الجدول'!K26 &amp; CHAR(10) &amp; "• " &amp; 'الجدول'!K27 &amp; CHAR(10) &amp; "• " &amp; 'الجدول'!K28 &amp; CHAR(10) &amp; "• " &amp; 'الجدول'!K29 &amp; CHAR(10) &amp; "• " &amp; 'الجدول'!K30 &amp; CHAR(10) &amp; CHAR(10) &amp; "■■ " &amp; 'الجدول'!L1 &amp; " ■■" &amp; CHAR(10) &amp; "• " &amp; 'الجدول'!L25 &amp; CHAR(10) &amp; "• " &amp; 'الجدول'!L26 &amp; CHAR(10) &amp; "• " &amp; 'الجدول'!L27 &amp; CHAR(10) &amp; "• " &amp; 'الجدول'!L28 &amp; CHAR(10) &amp; "• " &amp; 'الجدول'!L29 &amp; CHAR(10) &amp; "• " &amp; 'الجدول'!L30 &amp; CHAR(10) &amp; CHAR(10) &amp; "■■ " &amp; 'الجدول'!M1 &amp; " ■■" &amp; CHAR(10) &amp; "• " &amp; 'الجدول'!M25 &amp; CHAR(10) &amp; "• " &amp; 'الجدول'!M26 &amp; CHAR(10) &amp; "• " &amp; 'الجدول'!M27 &amp; CHAR(10) &amp; "• " &amp; 'الجدول'!M28 &amp; CHAR(10) &amp; "• " &amp; 'الجدول'!M29 &amp; CHAR(10) &amp; "• " &amp; 'الجدول'!M30 &amp; CHAR(10) &amp; CHAR(10) &amp; "■■ " &amp; 'الجدول'!N1 &amp; " ■■" &amp; CHAR(10) &amp; "• " &amp; 'الجدول'!N25 &amp; CHAR(10) &amp; "• " &amp; 'الجدول'!N26 &amp; CHAR(10) &amp; "• " &amp; 'الجدول'!N27 &amp; CHAR(10) &amp; "• " &amp; 'الجدول'!N28 &amp; CHAR(10) &amp; "• " &amp; 'الجدول'!N29 &amp; CHAR(10) &amp; "• " &amp; 'الجدول'!N30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يوسف عاطف رزق الله
(01148183647)
• محمد خالد محمد
(01008204601)
• سعيد السيد محمد السيد محمد سابق
(01203394950)
• ----------
• ----------
• ----------
■■ WARD-DAY-☀️ ■■
• محمود عبد المحسن إبراهيم
(01062086612)
• استيفن مدحت منير
(01200226122)
• أعناب طارق عوض
(01146334179)
• احمد حسام الدين صلاح
(01065567736)
• منار عواد عبدالعال عواد
(01001915861)
• احمدنوید قیومی
(01104573242)
■■ WARD-NIGHT-🌙 ■■
• محمد احمد بسام الجمل
(01091463337)
• كارين باسم صومائيل
(01274209975)
• مي طارق نهاد
(01287477488)
• احمد عزت الشيخ
(01226872660)
• ----------
• ----------
</v>
      </c>
      <c r="C5" s="3" t="str">
        <f>HYPERLINK("#الجدول!A" &amp; 24, "الجدول الأساسي")</f>
        <v>الجدول الأساسي</v>
      </c>
    </row>
    <row r="6">
      <c r="A6" s="1" t="s">
        <v>78</v>
      </c>
      <c r="B6" s="5" t="str">
        <f>"" &amp; "■■ " &amp; 'الجدول'!B1 &amp; " ■■" &amp; CHAR(10) &amp; "• " &amp; 'الجدول'!B31 &amp; CHAR(10) &amp; "• " &amp; 'الجدول'!B32 &amp; CHAR(10) &amp; "• " &amp; 'الجدول'!B33 &amp; CHAR(10) &amp; "• " &amp; 'الجدول'!B34 &amp; CHAR(10) &amp; "• " &amp; 'الجدول'!B35 &amp; CHAR(10) &amp; "• " &amp; 'الجدول'!B36 &amp; CHAR(10) &amp; CHAR(10) &amp; "■■ " &amp; 'الجدول'!C1 &amp; " ■■" &amp; CHAR(10) &amp; "• " &amp; 'الجدول'!C31 &amp; CHAR(10) &amp; "• " &amp; 'الجدول'!C32 &amp; CHAR(10) &amp; "• " &amp; 'الجدول'!C33 &amp; CHAR(10) &amp; "• " &amp; 'الجدول'!C34 &amp; CHAR(10) &amp; "• " &amp; 'الجدول'!C35 &amp; CHAR(10) &amp; "• " &amp; 'الجدول'!C36 &amp; CHAR(10) &amp; CHAR(10) &amp; "■■ " &amp; 'الجدول'!D1 &amp; " ■■" &amp; CHAR(10) &amp; "• " &amp; 'الجدول'!D31 &amp; CHAR(10) &amp; "• " &amp; 'الجدول'!D32 &amp; CHAR(10) &amp; "• " &amp; 'الجدول'!D33 &amp; CHAR(10) &amp; "• " &amp; 'الجدول'!D34 &amp; CHAR(10) &amp; "• " &amp; 'الجدول'!D35 &amp; CHAR(10) &amp; "• " &amp; 'الجدول'!D36 &amp; CHAR(10) &amp; CHAR(10) &amp; "■■ " &amp; 'الجدول'!E1 &amp; " ■■" &amp; CHAR(10) &amp; "• " &amp; 'الجدول'!E31 &amp; CHAR(10) &amp; "• " &amp; 'الجدول'!E32 &amp; CHAR(10) &amp; "• " &amp; 'الجدول'!E33 &amp; CHAR(10) &amp; "• " &amp; 'الجدول'!E34 &amp; CHAR(10) &amp; "• " &amp; 'الجدول'!E35 &amp; CHAR(10) &amp; "• " &amp; 'الجدول'!E36 &amp; CHAR(10) &amp; CHAR(10) &amp; "■■ " &amp; 'الجدول'!F1 &amp; " ■■" &amp; CHAR(10) &amp; "• " &amp; 'الجدول'!F31 &amp; CHAR(10) &amp; "• " &amp; 'الجدول'!F32 &amp; CHAR(10) &amp; "• " &amp; 'الجدول'!F33 &amp; CHAR(10) &amp; "• " &amp; 'الجدول'!F34 &amp; CHAR(10) &amp; "• " &amp; 'الجدول'!F35 &amp; CHAR(10) &amp; "• " &amp; 'الجدول'!F36 &amp; CHAR(10) &amp; CHAR(10) &amp; "■■ " &amp; 'الجدول'!G1 &amp; " ■■" &amp; CHAR(10) &amp; "• " &amp; 'الجدول'!G31 &amp; CHAR(10) &amp; "• " &amp; 'الجدول'!G32 &amp; CHAR(10) &amp; "• " &amp; 'الجدول'!G33 &amp; CHAR(10) &amp; "• " &amp; 'الجدول'!G34 &amp; CHAR(10) &amp; "• " &amp; 'الجدول'!G35 &amp; CHAR(10) &amp; "• " &amp; 'الجدول'!G36 &amp; CHAR(10) &amp; CHAR(10) &amp; "■■ " &amp; 'الجدول'!H1 &amp; " ■■" &amp; CHAR(10) &amp; "• " &amp; 'الجدول'!H31 &amp; CHAR(10) &amp; "• " &amp; 'الجدول'!H32 &amp; CHAR(10) &amp; "• " &amp; 'الجدول'!H33 &amp; CHAR(10) &amp; "• " &amp; 'الجدول'!H34 &amp; CHAR(10) &amp; "• " &amp; 'الجدول'!H35 &amp; CHAR(10) &amp; "• " &amp; 'الجدول'!H36 &amp; CHAR(10) &amp; CHAR(10) &amp; "■■ " &amp; 'الجدول'!I1 &amp; " ■■" &amp; CHAR(10) &amp; "• " &amp; 'الجدول'!I31 &amp; CHAR(10) &amp; "• " &amp; 'الجدول'!I32 &amp; CHAR(10) &amp; "• " &amp; 'الجدول'!I33 &amp; CHAR(10) &amp; "• " &amp; 'الجدول'!I34 &amp; CHAR(10) &amp; "• " &amp; 'الجدول'!I35 &amp; CHAR(10) &amp; "• " &amp; 'الجدول'!I36 &amp; CHAR(10) &amp; CHAR(10) &amp; "■■ " &amp; 'الجدول'!J1 &amp; " ■■" &amp; CHAR(10) &amp; "• " &amp; 'الجدول'!J31 &amp; CHAR(10) &amp; "• " &amp; 'الجدول'!J32 &amp; CHAR(10) &amp; "• " &amp; 'الجدول'!J33 &amp; CHAR(10) &amp; "• " &amp; 'الجدول'!J34 &amp; CHAR(10) &amp; "• " &amp; 'الجدول'!J35 &amp; CHAR(10) &amp; "• " &amp; 'الجدول'!J36 &amp; CHAR(10) &amp; CHAR(10) &amp; "■■ " &amp; 'الجدول'!K1 &amp; " ■■" &amp; CHAR(10) &amp; "• " &amp; 'الجدول'!K31 &amp; CHAR(10) &amp; "• " &amp; 'الجدول'!K32 &amp; CHAR(10) &amp; "• " &amp; 'الجدول'!K33 &amp; CHAR(10) &amp; "• " &amp; 'الجدول'!K34 &amp; CHAR(10) &amp; "• " &amp; 'الجدول'!K35 &amp; CHAR(10) &amp; "• " &amp; 'الجدول'!K36 &amp; CHAR(10) &amp; CHAR(10) &amp; "■■ " &amp; 'الجدول'!L1 &amp; " ■■" &amp; CHAR(10) &amp; "• " &amp; 'الجدول'!L31 &amp; CHAR(10) &amp; "• " &amp; 'الجدول'!L32 &amp; CHAR(10) &amp; "• " &amp; 'الجدول'!L33 &amp; CHAR(10) &amp; "• " &amp; 'الجدول'!L34 &amp; CHAR(10) &amp; "• " &amp; 'الجدول'!L35 &amp; CHAR(10) &amp; "• " &amp; 'الجدول'!L36 &amp; CHAR(10) &amp; CHAR(10) &amp; "■■ " &amp; 'الجدول'!M1 &amp; " ■■" &amp; CHAR(10) &amp; "• " &amp; 'الجدول'!M31 &amp; CHAR(10) &amp; "• " &amp; 'الجدول'!M32 &amp; CHAR(10) &amp; "• " &amp; 'الجدول'!M33 &amp; CHAR(10) &amp; "• " &amp; 'الجدول'!M34 &amp; CHAR(10) &amp; "• " &amp; 'الجدول'!M35 &amp; CHAR(10) &amp; "• " &amp; 'الجدول'!M36 &amp; CHAR(10) &amp; CHAR(10) &amp; "■■ " &amp; 'الجدول'!N1 &amp; " ■■" &amp; CHAR(10) &amp; "• " &amp; 'الجدول'!N31 &amp; CHAR(10) &amp; "• " &amp; 'الجدول'!N32 &amp; CHAR(10) &amp; "• " &amp; 'الجدول'!N33 &amp; CHAR(10) &amp; "• " &amp; 'الجدول'!N34 &amp; CHAR(10) &amp; "• " &amp; 'الجدول'!N35 &amp; CHAR(10) &amp; "• " &amp; 'الجدول'!N36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رنيم حاتم رفيق بسيسو
(01144758373)
• Ziad said mohamed
(01028577876)
• سلمى أبوالعلا
(01124166114)
• منار احمد سعيد
(01092708033)
• بلال جودة
(01066199644)
• عمر حسن محمد حسن حجازي
(01019701020)
■■ WARD-NIGHT-🌙 ■■
• محمد احمد بسام الجمل
(01091463337)
• ملك محمد فؤاد
(01001721072)
• سندس أحمد سيد
(01156131096)
• احمد عزت الشيخ
(01226872660)
• ----------
• ----------
</v>
      </c>
      <c r="C6" s="3" t="str">
        <f>HYPERLINK("#الجدول!A" &amp; 30, "الجدول الأساسي")</f>
        <v>الجدول الأساسي</v>
      </c>
    </row>
    <row r="7">
      <c r="A7" s="1" t="s">
        <v>81</v>
      </c>
      <c r="B7" s="5" t="str">
        <f>"" &amp; "■■ " &amp; 'الجدول'!B1 &amp; " ■■" &amp; CHAR(10) &amp; "• " &amp; 'الجدول'!B37 &amp; CHAR(10) &amp; "• " &amp; 'الجدول'!B38 &amp; CHAR(10) &amp; "• " &amp; 'الجدول'!B39 &amp; CHAR(10) &amp; "• " &amp; 'الجدول'!B40 &amp; CHAR(10) &amp; "• " &amp; 'الجدول'!B41 &amp; CHAR(10) &amp; CHAR(10) &amp; "■■ " &amp; 'الجدول'!C1 &amp; " ■■" &amp; CHAR(10) &amp; "• " &amp; 'الجدول'!C37 &amp; CHAR(10) &amp; "• " &amp; 'الجدول'!C38 &amp; CHAR(10) &amp; "• " &amp; 'الجدول'!C39 &amp; CHAR(10) &amp; "• " &amp; 'الجدول'!C40 &amp; CHAR(10) &amp; "• " &amp; 'الجدول'!C41 &amp; CHAR(10) &amp; CHAR(10) &amp; "■■ " &amp; 'الجدول'!D1 &amp; " ■■" &amp; CHAR(10) &amp; "• " &amp; 'الجدول'!D37 &amp; CHAR(10) &amp; "• " &amp; 'الجدول'!D38 &amp; CHAR(10) &amp; "• " &amp; 'الجدول'!D39 &amp; CHAR(10) &amp; "• " &amp; 'الجدول'!D40 &amp; CHAR(10) &amp; "• " &amp; 'الجدول'!D41 &amp; CHAR(10) &amp; CHAR(10) &amp; "■■ " &amp; 'الجدول'!E1 &amp; " ■■" &amp; CHAR(10) &amp; "• " &amp; 'الجدول'!E37 &amp; CHAR(10) &amp; "• " &amp; 'الجدول'!E38 &amp; CHAR(10) &amp; "• " &amp; 'الجدول'!E39 &amp; CHAR(10) &amp; "• " &amp; 'الجدول'!E40 &amp; CHAR(10) &amp; "• " &amp; 'الجدول'!E41 &amp; CHAR(10) &amp; CHAR(10) &amp; "■■ " &amp; 'الجدول'!F1 &amp; " ■■" &amp; CHAR(10) &amp; "• " &amp; 'الجدول'!F37 &amp; CHAR(10) &amp; "• " &amp; 'الجدول'!F38 &amp; CHAR(10) &amp; "• " &amp; 'الجدول'!F39 &amp; CHAR(10) &amp; "• " &amp; 'الجدول'!F40 &amp; CHAR(10) &amp; "• " &amp; 'الجدول'!F41 &amp; CHAR(10) &amp; CHAR(10) &amp; "■■ " &amp; 'الجدول'!G1 &amp; " ■■" &amp; CHAR(10) &amp; "• " &amp; 'الجدول'!G37 &amp; CHAR(10) &amp; "• " &amp; 'الجدول'!G38 &amp; CHAR(10) &amp; "• " &amp; 'الجدول'!G39 &amp; CHAR(10) &amp; "• " &amp; 'الجدول'!G40 &amp; CHAR(10) &amp; "• " &amp; 'الجدول'!G41 &amp; CHAR(10) &amp; CHAR(10) &amp; "■■ " &amp; 'الجدول'!H1 &amp; " ■■" &amp; CHAR(10) &amp; "• " &amp; 'الجدول'!H37 &amp; CHAR(10) &amp; "• " &amp; 'الجدول'!H38 &amp; CHAR(10) &amp; "• " &amp; 'الجدول'!H39 &amp; CHAR(10) &amp; "• " &amp; 'الجدول'!H40 &amp; CHAR(10) &amp; "• " &amp; 'الجدول'!H41 &amp; CHAR(10) &amp; CHAR(10) &amp; "■■ " &amp; 'الجدول'!I1 &amp; " ■■" &amp; CHAR(10) &amp; "• " &amp; 'الجدول'!I37 &amp; CHAR(10) &amp; "• " &amp; 'الجدول'!I38 &amp; CHAR(10) &amp; "• " &amp; 'الجدول'!I39 &amp; CHAR(10) &amp; "• " &amp; 'الجدول'!I40 &amp; CHAR(10) &amp; "• " &amp; 'الجدول'!I41 &amp; CHAR(10) &amp; CHAR(10) &amp; "■■ " &amp; 'الجدول'!J1 &amp; " ■■" &amp; CHAR(10) &amp; "• " &amp; 'الجدول'!J37 &amp; CHAR(10) &amp; "• " &amp; 'الجدول'!J38 &amp; CHAR(10) &amp; "• " &amp; 'الجدول'!J39 &amp; CHAR(10) &amp; "• " &amp; 'الجدول'!J40 &amp; CHAR(10) &amp; "• " &amp; 'الجدول'!J41 &amp; CHAR(10) &amp; CHAR(10) &amp; "■■ " &amp; 'الجدول'!K1 &amp; " ■■" &amp; CHAR(10) &amp; "• " &amp; 'الجدول'!K37 &amp; CHAR(10) &amp; "• " &amp; 'الجدول'!K38 &amp; CHAR(10) &amp; "• " &amp; 'الجدول'!K39 &amp; CHAR(10) &amp; "• " &amp; 'الجدول'!K40 &amp; CHAR(10) &amp; "• " &amp; 'الجدول'!K41 &amp; CHAR(10) &amp; CHAR(10) &amp; "■■ " &amp; 'الجدول'!L1 &amp; " ■■" &amp; CHAR(10) &amp; "• " &amp; 'الجدول'!L37 &amp; CHAR(10) &amp; "• " &amp; 'الجدول'!L38 &amp; CHAR(10) &amp; "• " &amp; 'الجدول'!L39 &amp; CHAR(10) &amp; "• " &amp; 'الجدول'!L40 &amp; CHAR(10) &amp; "• " &amp; 'الجدول'!L41 &amp; CHAR(10) &amp; CHAR(10) &amp; "■■ " &amp; 'الجدول'!M1 &amp; " ■■" &amp; CHAR(10) &amp; "• " &amp; 'الجدول'!M37 &amp; CHAR(10) &amp; "• " &amp; 'الجدول'!M38 &amp; CHAR(10) &amp; "• " &amp; 'الجدول'!M39 &amp; CHAR(10) &amp; "• " &amp; 'الجدول'!M40 &amp; CHAR(10) &amp; "• " &amp; 'الجدول'!M41 &amp; CHAR(10) &amp; CHAR(10) &amp; "■■ " &amp; 'الجدول'!N1 &amp; " ■■" &amp; CHAR(10) &amp; "• " &amp; 'الجدول'!N37 &amp; CHAR(10) &amp; "• " &amp; 'الجدول'!N38 &amp; CHAR(10) &amp; "• " &amp; 'الجدول'!N39 &amp; CHAR(10) &amp; "• " &amp; 'الجدول'!N40 &amp; CHAR(10) &amp; "• " &amp; 'الجدول'!N41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مها حسين السيد
(01012349071)
• محمد خالد محمد
(01008204601)
• زينة أشرف حسين
(01067196820)
• مي خالد ابوزيد
(01023578224)
• عمرو عبدالغفار حمزة
(01014246636)
■■ WARD-NIGHT-🌙 ■■
• تقى عماد حسني
(01119716276)
• رنا اكرم احمد
(01122182132)
• Marwan Ayman
(01149894940)
• ----------
• ----------
</v>
      </c>
      <c r="C7" s="3" t="str">
        <f>HYPERLINK("#الجدول!A" &amp; 36, "الجدول الأساسي")</f>
        <v>الجدول الأساسي</v>
      </c>
    </row>
    <row r="8">
      <c r="A8" s="1" t="s">
        <v>83</v>
      </c>
      <c r="B8" s="5" t="str">
        <f>"" &amp; "■■ " &amp; 'الجدول'!B1 &amp; " ■■" &amp; CHAR(10) &amp; "• " &amp; 'الجدول'!B42 &amp; CHAR(10) &amp; "• " &amp; 'الجدول'!B43 &amp; CHAR(10) &amp; "• " &amp; 'الجدول'!B44 &amp; CHAR(10) &amp; "• " &amp; 'الجدول'!B45 &amp; CHAR(10) &amp; CHAR(10) &amp; "■■ " &amp; 'الجدول'!C1 &amp; " ■■" &amp; CHAR(10) &amp; "• " &amp; 'الجدول'!C42 &amp; CHAR(10) &amp; "• " &amp; 'الجدول'!C43 &amp; CHAR(10) &amp; "• " &amp; 'الجدول'!C44 &amp; CHAR(10) &amp; "• " &amp; 'الجدول'!C45 &amp; CHAR(10) &amp; CHAR(10) &amp; "■■ " &amp; 'الجدول'!D1 &amp; " ■■" &amp; CHAR(10) &amp; "• " &amp; 'الجدول'!D42 &amp; CHAR(10) &amp; "• " &amp; 'الجدول'!D43 &amp; CHAR(10) &amp; "• " &amp; 'الجدول'!D44 &amp; CHAR(10) &amp; "• " &amp; 'الجدول'!D45 &amp; CHAR(10) &amp; CHAR(10) &amp; "■■ " &amp; 'الجدول'!E1 &amp; " ■■" &amp; CHAR(10) &amp; "• " &amp; 'الجدول'!E42 &amp; CHAR(10) &amp; "• " &amp; 'الجدول'!E43 &amp; CHAR(10) &amp; "• " &amp; 'الجدول'!E44 &amp; CHAR(10) &amp; "• " &amp; 'الجدول'!E45 &amp; CHAR(10) &amp; CHAR(10) &amp; "■■ " &amp; 'الجدول'!F1 &amp; " ■■" &amp; CHAR(10) &amp; "• " &amp; 'الجدول'!F42 &amp; CHAR(10) &amp; "• " &amp; 'الجدول'!F43 &amp; CHAR(10) &amp; "• " &amp; 'الجدول'!F44 &amp; CHAR(10) &amp; "• " &amp; 'الجدول'!F45 &amp; CHAR(10) &amp; CHAR(10) &amp; "■■ " &amp; 'الجدول'!G1 &amp; " ■■" &amp; CHAR(10) &amp; "• " &amp; 'الجدول'!G42 &amp; CHAR(10) &amp; "• " &amp; 'الجدول'!G43 &amp; CHAR(10) &amp; "• " &amp; 'الجدول'!G44 &amp; CHAR(10) &amp; "• " &amp; 'الجدول'!G45 &amp; CHAR(10) &amp; CHAR(10) &amp; "■■ " &amp; 'الجدول'!H1 &amp; " ■■" &amp; CHAR(10) &amp; "• " &amp; 'الجدول'!H42 &amp; CHAR(10) &amp; "• " &amp; 'الجدول'!H43 &amp; CHAR(10) &amp; "• " &amp; 'الجدول'!H44 &amp; CHAR(10) &amp; "• " &amp; 'الجدول'!H45 &amp; CHAR(10) &amp; CHAR(10) &amp; "■■ " &amp; 'الجدول'!I1 &amp; " ■■" &amp; CHAR(10) &amp; "• " &amp; 'الجدول'!I42 &amp; CHAR(10) &amp; "• " &amp; 'الجدول'!I43 &amp; CHAR(10) &amp; "• " &amp; 'الجدول'!I44 &amp; CHAR(10) &amp; "• " &amp; 'الجدول'!I45 &amp; CHAR(10) &amp; CHAR(10) &amp; "■■ " &amp; 'الجدول'!J1 &amp; " ■■" &amp; CHAR(10) &amp; "• " &amp; 'الجدول'!J42 &amp; CHAR(10) &amp; "• " &amp; 'الجدول'!J43 &amp; CHAR(10) &amp; "• " &amp; 'الجدول'!J44 &amp; CHAR(10) &amp; "• " &amp; 'الجدول'!J45 &amp; CHAR(10) &amp; CHAR(10) &amp; "■■ " &amp; 'الجدول'!K1 &amp; " ■■" &amp; CHAR(10) &amp; "• " &amp; 'الجدول'!K42 &amp; CHAR(10) &amp; "• " &amp; 'الجدول'!K43 &amp; CHAR(10) &amp; "• " &amp; 'الجدول'!K44 &amp; CHAR(10) &amp; "• " &amp; 'الجدول'!K45 &amp; CHAR(10) &amp; CHAR(10) &amp; "■■ " &amp; 'الجدول'!L1 &amp; " ■■" &amp; CHAR(10) &amp; "• " &amp; 'الجدول'!L42 &amp; CHAR(10) &amp; "• " &amp; 'الجدول'!L43 &amp; CHAR(10) &amp; "• " &amp; 'الجدول'!L44 &amp; CHAR(10) &amp; "• " &amp; 'الجدول'!L45 &amp; CHAR(10) &amp; CHAR(10) &amp; "■■ " &amp; 'الجدول'!M1 &amp; " ■■" &amp; CHAR(10) &amp; "• " &amp; 'الجدول'!M42 &amp; CHAR(10) &amp; "• " &amp; 'الجدول'!M43 &amp; CHAR(10) &amp; "• " &amp; 'الجدول'!M44 &amp; CHAR(10) &amp; "• " &amp; 'الجدول'!M45 &amp; CHAR(10) &amp; CHAR(10) &amp; "■■ " &amp; 'الجدول'!N1 &amp; " ■■" &amp; CHAR(10) &amp; "• " &amp; 'الجدول'!N42 &amp; CHAR(10) &amp; "• " &amp; 'الجدول'!N43 &amp; CHAR(10) &amp; "• " &amp; 'الجدول'!N44 &amp; CHAR(10) &amp; "• " &amp; 'الجدول'!N45 &amp; CHAR(10) &amp; CHAR(10)</f>
        <v>■■ ER ADMISSION-NIGHT-🚨🌙 ■■
• ----------
• ----------
• ----------
• ----------
■■ ER ADMISSIONS -DAY-🚨☀️ ■■
• ----------
• ----------
• ----------
• ----------
■■ ER GENERAL-DAY-🚨☀️ ■■
• ----------
• ----------
• ----------
• ----------
■■ ER GENERAL-NIGHT-🚨🌙 ■■
• ----------
• ----------
• ----------
• ----------
■■ ER PT-DAY-🚨☀️ ■■
• ----------
• ----------
• ----------
• ----------
■■ ER PT-NIGHT-🚨🌙 ■■
• ----------
• ----------
• ----------
• ----------
■■ ER TRIAGE-DAY-🚨☀️ ■■
• ----------
• ----------
• ----------
• ----------
■■ ER TRIAGE-NIGHT-🚨🌙 ■■
• ----------
• ----------
• ----------
• ----------
■■ ER WARD-DAY-🚨☀️ ■■
• ----------
• ----------
• ----------
• ----------
■■ ER WARD-NIGHT-🚨🌙 ■■
• ----------
• ----------
• ----------
• ----------
■■ 🗡️LISTA ■■
• ----------
• ----------
• ----------
• ----------
■■ WARD-DAY-☀️ ■■
• أحمد زيدان
(01110524147)
• ريهام سعد عبدالرحمن
(01124867574)
• Alaa mahmoud El haddad
(01033882560)
• Mostafa Ismail
(01022400525)
■■ WARD-NIGHT-🌙 ■■
• عبدالله احمد
(01020242571)
• احمد عزت الشيخ
(01226872660)
• احمدنوید قیومی
(01104573242)
• 
</v>
      </c>
      <c r="C8" s="3" t="str">
        <f>HYPERLINK("#الجدول!A" &amp; 41, "الجدول الأساسي")</f>
        <v>الجدول الأساسي</v>
      </c>
    </row>
    <row r="9">
      <c r="A9" s="1" t="s">
        <v>85</v>
      </c>
      <c r="B9" s="5" t="str">
        <f>"" &amp; "■■ " &amp; 'الجدول'!B1 &amp; " ■■" &amp; CHAR(10) &amp; "• " &amp; 'الجدول'!B46 &amp; CHAR(10) &amp; "• " &amp; 'الجدول'!B47 &amp; CHAR(10) &amp; "• " &amp; 'الجدول'!B48 &amp; CHAR(10) &amp; "• " &amp; 'الجدول'!B49 &amp; CHAR(10) &amp; "• " &amp; 'الجدول'!B50 &amp; CHAR(10) &amp; CHAR(10) &amp; "■■ " &amp; 'الجدول'!C1 &amp; " ■■" &amp; CHAR(10) &amp; "• " &amp; 'الجدول'!C46 &amp; CHAR(10) &amp; "• " &amp; 'الجدول'!C47 &amp; CHAR(10) &amp; "• " &amp; 'الجدول'!C48 &amp; CHAR(10) &amp; "• " &amp; 'الجدول'!C49 &amp; CHAR(10) &amp; "• " &amp; 'الجدول'!C50 &amp; CHAR(10) &amp; CHAR(10) &amp; "■■ " &amp; 'الجدول'!D1 &amp; " ■■" &amp; CHAR(10) &amp; "• " &amp; 'الجدول'!D46 &amp; CHAR(10) &amp; "• " &amp; 'الجدول'!D47 &amp; CHAR(10) &amp; "• " &amp; 'الجدول'!D48 &amp; CHAR(10) &amp; "• " &amp; 'الجدول'!D49 &amp; CHAR(10) &amp; "• " &amp; 'الجدول'!D50 &amp; CHAR(10) &amp; CHAR(10) &amp; "■■ " &amp; 'الجدول'!E1 &amp; " ■■" &amp; CHAR(10) &amp; "• " &amp; 'الجدول'!E46 &amp; CHAR(10) &amp; "• " &amp; 'الجدول'!E47 &amp; CHAR(10) &amp; "• " &amp; 'الجدول'!E48 &amp; CHAR(10) &amp; "• " &amp; 'الجدول'!E49 &amp; CHAR(10) &amp; "• " &amp; 'الجدول'!E50 &amp; CHAR(10) &amp; CHAR(10) &amp; "■■ " &amp; 'الجدول'!F1 &amp; " ■■" &amp; CHAR(10) &amp; "• " &amp; 'الجدول'!F46 &amp; CHAR(10) &amp; "• " &amp; 'الجدول'!F47 &amp; CHAR(10) &amp; "• " &amp; 'الجدول'!F48 &amp; CHAR(10) &amp; "• " &amp; 'الجدول'!F49 &amp; CHAR(10) &amp; "• " &amp; 'الجدول'!F50 &amp; CHAR(10) &amp; CHAR(10) &amp; "■■ " &amp; 'الجدول'!G1 &amp; " ■■" &amp; CHAR(10) &amp; "• " &amp; 'الجدول'!G46 &amp; CHAR(10) &amp; "• " &amp; 'الجدول'!G47 &amp; CHAR(10) &amp; "• " &amp; 'الجدول'!G48 &amp; CHAR(10) &amp; "• " &amp; 'الجدول'!G49 &amp; CHAR(10) &amp; "• " &amp; 'الجدول'!G50 &amp; CHAR(10) &amp; CHAR(10) &amp; "■■ " &amp; 'الجدول'!H1 &amp; " ■■" &amp; CHAR(10) &amp; "• " &amp; 'الجدول'!H46 &amp; CHAR(10) &amp; "• " &amp; 'الجدول'!H47 &amp; CHAR(10) &amp; "• " &amp; 'الجدول'!H48 &amp; CHAR(10) &amp; "• " &amp; 'الجدول'!H49 &amp; CHAR(10) &amp; "• " &amp; 'الجدول'!H50 &amp; CHAR(10) &amp; CHAR(10) &amp; "■■ " &amp; 'الجدول'!I1 &amp; " ■■" &amp; CHAR(10) &amp; "• " &amp; 'الجدول'!I46 &amp; CHAR(10) &amp; "• " &amp; 'الجدول'!I47 &amp; CHAR(10) &amp; "• " &amp; 'الجدول'!I48 &amp; CHAR(10) &amp; "• " &amp; 'الجدول'!I49 &amp; CHAR(10) &amp; "• " &amp; 'الجدول'!I50 &amp; CHAR(10) &amp; CHAR(10) &amp; "■■ " &amp; 'الجدول'!J1 &amp; " ■■" &amp; CHAR(10) &amp; "• " &amp; 'الجدول'!J46 &amp; CHAR(10) &amp; "• " &amp; 'الجدول'!J47 &amp; CHAR(10) &amp; "• " &amp; 'الجدول'!J48 &amp; CHAR(10) &amp; "• " &amp; 'الجدول'!J49 &amp; CHAR(10) &amp; "• " &amp; 'الجدول'!J50 &amp; CHAR(10) &amp; CHAR(10) &amp; "■■ " &amp; 'الجدول'!K1 &amp; " ■■" &amp; CHAR(10) &amp; "• " &amp; 'الجدول'!K46 &amp; CHAR(10) &amp; "• " &amp; 'الجدول'!K47 &amp; CHAR(10) &amp; "• " &amp; 'الجدول'!K48 &amp; CHAR(10) &amp; "• " &amp; 'الجدول'!K49 &amp; CHAR(10) &amp; "• " &amp; 'الجدول'!K50 &amp; CHAR(10) &amp; CHAR(10) &amp; "■■ " &amp; 'الجدول'!L1 &amp; " ■■" &amp; CHAR(10) &amp; "• " &amp; 'الجدول'!L46 &amp; CHAR(10) &amp; "• " &amp; 'الجدول'!L47 &amp; CHAR(10) &amp; "• " &amp; 'الجدول'!L48 &amp; CHAR(10) &amp; "• " &amp; 'الجدول'!L49 &amp; CHAR(10) &amp; "• " &amp; 'الجدول'!L50 &amp; CHAR(10) &amp; CHAR(10) &amp; "■■ " &amp; 'الجدول'!M1 &amp; " ■■" &amp; CHAR(10) &amp; "• " &amp; 'الجدول'!M46 &amp; CHAR(10) &amp; "• " &amp; 'الجدول'!M47 &amp; CHAR(10) &amp; "• " &amp; 'الجدول'!M48 &amp; CHAR(10) &amp; "• " &amp; 'الجدول'!M49 &amp; CHAR(10) &amp; "• " &amp; 'الجدول'!M50 &amp; CHAR(10) &amp; CHAR(10) &amp; "■■ " &amp; 'الجدول'!N1 &amp; " ■■" &amp; CHAR(10) &amp; "• " &amp; 'الجدول'!N46 &amp; CHAR(10) &amp; "• " &amp; 'الجدول'!N47 &amp; CHAR(10) &amp; "• " &amp; 'الجدول'!N48 &amp; CHAR(10) &amp; "• " &amp; 'الجدول'!N49 &amp; CHAR(10) &amp; "• " &amp; 'الجدول'!N50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منار عواد عبدالعال عواد
(01001915861)
• شدو محمد شلتوت
(1550336384)
• حنان النبوى محمد
(01067888751)
• ----------
• ----------
■■ WARD-DAY-☀️ ■■
• محمد محمود ابراهيم
(01112057358)
• رؤى أحمد عبدالحميد البليهي
(01021284862)
• منه الله هشام السيد
(01002996214)
• احمدنوید قیومی
(01104573242)
• دانه طارق
(01012809042)
■■ WARD-NIGHT-🌙 ■■
• كارين باسم صومائيل
(01274209975)
• احمد حسام الدين صلاح
(01065567736)
• احمد ايهاب محمد عواد
(01032298339)
• ----------
• ----------
</v>
      </c>
      <c r="C9" s="3" t="str">
        <f>HYPERLINK("#الجدول!A" &amp; 45, "الجدول الأساسي")</f>
        <v>الجدول الأساسي</v>
      </c>
    </row>
    <row r="10">
      <c r="A10" s="1" t="s">
        <v>86</v>
      </c>
      <c r="B10" s="5" t="str">
        <f>"" &amp; "■■ " &amp; 'الجدول'!B1 &amp; " ■■" &amp; CHAR(10) &amp; "• " &amp; 'الجدول'!B51 &amp; CHAR(10) &amp; "• " &amp; 'الجدول'!B52 &amp; CHAR(10) &amp; "• " &amp; 'الجدول'!B53 &amp; CHAR(10) &amp; "• " &amp; 'الجدول'!B54 &amp; CHAR(10) &amp; "• " &amp; 'الجدول'!B55 &amp; CHAR(10) &amp; "• " &amp; 'الجدول'!B56 &amp; CHAR(10) &amp; "• " &amp; 'الجدول'!B57 &amp; CHAR(10) &amp; "• " &amp; 'الجدول'!B58 &amp; CHAR(10) &amp; "• " &amp; 'الجدول'!B59 &amp; CHAR(10) &amp; "• " &amp; 'الجدول'!B60 &amp; CHAR(10) &amp; CHAR(10) &amp; "■■ " &amp; 'الجدول'!C1 &amp; " ■■" &amp; CHAR(10) &amp; "• " &amp; 'الجدول'!C51 &amp; CHAR(10) &amp; "• " &amp; 'الجدول'!C52 &amp; CHAR(10) &amp; "• " &amp; 'الجدول'!C53 &amp; CHAR(10) &amp; "• " &amp; 'الجدول'!C54 &amp; CHAR(10) &amp; "• " &amp; 'الجدول'!C55 &amp; CHAR(10) &amp; "• " &amp; 'الجدول'!C56 &amp; CHAR(10) &amp; "• " &amp; 'الجدول'!C57 &amp; CHAR(10) &amp; "• " &amp; 'الجدول'!C58 &amp; CHAR(10) &amp; "• " &amp; 'الجدول'!C59 &amp; CHAR(10) &amp; "• " &amp; 'الجدول'!C60 &amp; CHAR(10) &amp; CHAR(10) &amp; "■■ " &amp; 'الجدول'!D1 &amp; " ■■" &amp; CHAR(10) &amp; "• " &amp; 'الجدول'!D51 &amp; CHAR(10) &amp; "• " &amp; 'الجدول'!D52 &amp; CHAR(10) &amp; "• " &amp; 'الجدول'!D53 &amp; CHAR(10) &amp; "• " &amp; 'الجدول'!D54 &amp; CHAR(10) &amp; "• " &amp; 'الجدول'!D55 &amp; CHAR(10) &amp; "• " &amp; 'الجدول'!D56 &amp; CHAR(10) &amp; "• " &amp; 'الجدول'!D57 &amp; CHAR(10) &amp; "• " &amp; 'الجدول'!D58 &amp; CHAR(10) &amp; "• " &amp; 'الجدول'!D59 &amp; CHAR(10) &amp; "• " &amp; 'الجدول'!D60 &amp; CHAR(10) &amp; CHAR(10) &amp; "■■ " &amp; 'الجدول'!E1 &amp; " ■■" &amp; CHAR(10) &amp; "• " &amp; 'الجدول'!E51 &amp; CHAR(10) &amp; "• " &amp; 'الجدول'!E52 &amp; CHAR(10) &amp; "• " &amp; 'الجدول'!E53 &amp; CHAR(10) &amp; "• " &amp; 'الجدول'!E54 &amp; CHAR(10) &amp; "• " &amp; 'الجدول'!E55 &amp; CHAR(10) &amp; "• " &amp; 'الجدول'!E56 &amp; CHAR(10) &amp; "• " &amp; 'الجدول'!E57 &amp; CHAR(10) &amp; "• " &amp; 'الجدول'!E58 &amp; CHAR(10) &amp; "• " &amp; 'الجدول'!E59 &amp; CHAR(10) &amp; "• " &amp; 'الجدول'!E60 &amp; CHAR(10) &amp; CHAR(10) &amp; "■■ " &amp; 'الجدول'!F1 &amp; " ■■" &amp; CHAR(10) &amp; "• " &amp; 'الجدول'!F51 &amp; CHAR(10) &amp; "• " &amp; 'الجدول'!F52 &amp; CHAR(10) &amp; "• " &amp; 'الجدول'!F53 &amp; CHAR(10) &amp; "• " &amp; 'الجدول'!F54 &amp; CHAR(10) &amp; "• " &amp; 'الجدول'!F55 &amp; CHAR(10) &amp; "• " &amp; 'الجدول'!F56 &amp; CHAR(10) &amp; "• " &amp; 'الجدول'!F57 &amp; CHAR(10) &amp; "• " &amp; 'الجدول'!F58 &amp; CHAR(10) &amp; "• " &amp; 'الجدول'!F59 &amp; CHAR(10) &amp; "• " &amp; 'الجدول'!F60 &amp; CHAR(10) &amp; CHAR(10) &amp; "■■ " &amp; 'الجدول'!G1 &amp; " ■■" &amp; CHAR(10) &amp; "• " &amp; 'الجدول'!G51 &amp; CHAR(10) &amp; "• " &amp; 'الجدول'!G52 &amp; CHAR(10) &amp; "• " &amp; 'الجدول'!G53 &amp; CHAR(10) &amp; "• " &amp; 'الجدول'!G54 &amp; CHAR(10) &amp; "• " &amp; 'الجدول'!G55 &amp; CHAR(10) &amp; "• " &amp; 'الجدول'!G56 &amp; CHAR(10) &amp; "• " &amp; 'الجدول'!G57 &amp; CHAR(10) &amp; "• " &amp; 'الجدول'!G58 &amp; CHAR(10) &amp; "• " &amp; 'الجدول'!G59 &amp; CHAR(10) &amp; "• " &amp; 'الجدول'!G60 &amp; CHAR(10) &amp; CHAR(10) &amp; "■■ " &amp; 'الجدول'!H1 &amp; " ■■" &amp; CHAR(10) &amp; "• " &amp; 'الجدول'!H51 &amp; CHAR(10) &amp; "• " &amp; 'الجدول'!H52 &amp; CHAR(10) &amp; "• " &amp; 'الجدول'!H53 &amp; CHAR(10) &amp; "• " &amp; 'الجدول'!H54 &amp; CHAR(10) &amp; "• " &amp; 'الجدول'!H55 &amp; CHAR(10) &amp; "• " &amp; 'الجدول'!H56 &amp; CHAR(10) &amp; "• " &amp; 'الجدول'!H57 &amp; CHAR(10) &amp; "• " &amp; 'الجدول'!H58 &amp; CHAR(10) &amp; "• " &amp; 'الجدول'!H59 &amp; CHAR(10) &amp; "• " &amp; 'الجدول'!H60 &amp; CHAR(10) &amp; CHAR(10) &amp; "■■ " &amp; 'الجدول'!I1 &amp; " ■■" &amp; CHAR(10) &amp; "• " &amp; 'الجدول'!I51 &amp; CHAR(10) &amp; "• " &amp; 'الجدول'!I52 &amp; CHAR(10) &amp; "• " &amp; 'الجدول'!I53 &amp; CHAR(10) &amp; "• " &amp; 'الجدول'!I54 &amp; CHAR(10) &amp; "• " &amp; 'الجدول'!I55 &amp; CHAR(10) &amp; "• " &amp; 'الجدول'!I56 &amp; CHAR(10) &amp; "• " &amp; 'الجدول'!I57 &amp; CHAR(10) &amp; "• " &amp; 'الجدول'!I58 &amp; CHAR(10) &amp; "• " &amp; 'الجدول'!I59 &amp; CHAR(10) &amp; "• " &amp; 'الجدول'!I60 &amp; CHAR(10) &amp; CHAR(10) &amp; "■■ " &amp; 'الجدول'!J1 &amp; " ■■" &amp; CHAR(10) &amp; "• " &amp; 'الجدول'!J51 &amp; CHAR(10) &amp; "• " &amp; 'الجدول'!J52 &amp; CHAR(10) &amp; "• " &amp; 'الجدول'!J53 &amp; CHAR(10) &amp; "• " &amp; 'الجدول'!J54 &amp; CHAR(10) &amp; "• " &amp; 'الجدول'!J55 &amp; CHAR(10) &amp; "• " &amp; 'الجدول'!J56 &amp; CHAR(10) &amp; "• " &amp; 'الجدول'!J57 &amp; CHAR(10) &amp; "• " &amp; 'الجدول'!J58 &amp; CHAR(10) &amp; "• " &amp; 'الجدول'!J59 &amp; CHAR(10) &amp; "• " &amp; 'الجدول'!J60 &amp; CHAR(10) &amp; CHAR(10) &amp; "■■ " &amp; 'الجدول'!K1 &amp; " ■■" &amp; CHAR(10) &amp; "• " &amp; 'الجدول'!K51 &amp; CHAR(10) &amp; "• " &amp; 'الجدول'!K52 &amp; CHAR(10) &amp; "• " &amp; 'الجدول'!K53 &amp; CHAR(10) &amp; "• " &amp; 'الجدول'!K54 &amp; CHAR(10) &amp; "• " &amp; 'الجدول'!K55 &amp; CHAR(10) &amp; "• " &amp; 'الجدول'!K56 &amp; CHAR(10) &amp; "• " &amp; 'الجدول'!K57 &amp; CHAR(10) &amp; "• " &amp; 'الجدول'!K58 &amp; CHAR(10) &amp; "• " &amp; 'الجدول'!K59 &amp; CHAR(10) &amp; "• " &amp; 'الجدول'!K60 &amp; CHAR(10) &amp; CHAR(10) &amp; "■■ " &amp; 'الجدول'!L1 &amp; " ■■" &amp; CHAR(10) &amp; "• " &amp; 'الجدول'!L51 &amp; CHAR(10) &amp; "• " &amp; 'الجدول'!L52 &amp; CHAR(10) &amp; "• " &amp; 'الجدول'!L53 &amp; CHAR(10) &amp; "• " &amp; 'الجدول'!L54 &amp; CHAR(10) &amp; "• " &amp; 'الجدول'!L55 &amp; CHAR(10) &amp; "• " &amp; 'الجدول'!L56 &amp; CHAR(10) &amp; "• " &amp; 'الجدول'!L57 &amp; CHAR(10) &amp; "• " &amp; 'الجدول'!L58 &amp; CHAR(10) &amp; "• " &amp; 'الجدول'!L59 &amp; CHAR(10) &amp; "• " &amp; 'الجدول'!L60 &amp; CHAR(10) &amp; CHAR(10) &amp; "■■ " &amp; 'الجدول'!M1 &amp; " ■■" &amp; CHAR(10) &amp; "• " &amp; 'الجدول'!M51 &amp; CHAR(10) &amp; "• " &amp; 'الجدول'!M52 &amp; CHAR(10) &amp; "• " &amp; 'الجدول'!M53 &amp; CHAR(10) &amp; "• " &amp; 'الجدول'!M54 &amp; CHAR(10) &amp; "• " &amp; 'الجدول'!M55 &amp; CHAR(10) &amp; "• " &amp; 'الجدول'!M56 &amp; CHAR(10) &amp; "• " &amp; 'الجدول'!M57 &amp; CHAR(10) &amp; "• " &amp; 'الجدول'!M58 &amp; CHAR(10) &amp; "• " &amp; 'الجدول'!M59 &amp; CHAR(10) &amp; "• " &amp; 'الجدول'!M60 &amp; CHAR(10) &amp; CHAR(10) &amp; "■■ " &amp; 'الجدول'!N1 &amp; " ■■" &amp; CHAR(10) &amp; "• " &amp; 'الجدول'!N51 &amp; CHAR(10) &amp; "• " &amp; 'الجدول'!N52 &amp; CHAR(10) &amp; "• " &amp; 'الجدول'!N53 &amp; CHAR(10) &amp; "• " &amp; 'الجدول'!N54 &amp; CHAR(10) &amp; "• " &amp; 'الجدول'!N55 &amp; CHAR(10) &amp; "• " &amp; 'الجدول'!N56 &amp; CHAR(10) &amp; "• " &amp; 'الجدول'!N57 &amp; CHAR(10) &amp; "• " &amp; 'الجدول'!N58 &amp; CHAR(10) &amp; "• " &amp; 'الجدول'!N59 &amp; CHAR(10) &amp; "• " &amp; 'الجدول'!N60 &amp; CHAR(10) &amp; CHAR(10)</f>
        <v>■■ ER ADMISSION-NIGHT-🚨🌙 ■■
• احمد ايهاب محمد عواد
(01032298339)
• ----------
• ----------
• ----------
• ----------
• ----------
• ----------
• ----------
• ----------
• ----------
■■ ER ADMISSIONS -DAY-🚨☀️ ■■
• مصطفى محمد علي محمد بدر
(01150245681)
• ----------
• ----------
• ----------
• ----------
• ----------
• ----------
• ----------
• ----------
• ----------
■■ ER GENERAL-DAY-🚨☀️ ■■
• روان ياسر سليم
(01005005160)
• استيفن مدحت منير
(01200226122)
• عمر حسن محمد حسن حجازي
(01019701020)
• سلمى أبوالعلا
(01124166114)
• بلال جودة
(01066199644)
• منه الله هشام السيد
(01002996214)
• مينا رومانى عبده
(01212866642)
• بلال أحمد
(01066883767)
• رنيم حاتم رفيق بسيسو
(01144758373)
• يارا إبراهيم سيد
(01021880370)
■■ ER GENERAL-NIGHT-🚨🌙 ■■
• مي طارق نهاد
(01287477488)
• محمد عمرو محمد عبدالباقي
(01151653320)
• Alaa mahmoud El haddad
(01033882560)
• محمد محمود ابراهيم
(01112057358)
• أحمد زيدان
(01110524147)
• حنان النبوى محمد
(01067888751)
• تقى عماد حسني
(01119716276)
• شدو محمد شلتوت
(1550336384)
• Marwan Ayman
(01149894940)
• ----------
■■ ER PT-DAY-🚨☀️ ■■
• عبدالمسيح مكرم
(01203267885)
• Youssef elsemary
(01126286820)
• رؤى أحمد عبدالحميد البليهي
(01021284862)
• منار احمد سعيد
(01092708033)
• هديل نادي محند
(01033032220)
• يوسف عاطف رزق الله
(01148183647)
• مريم السيد أحمد خيرالله
(01099882992)
• منار عواد عبدالعال عواد
(01001915861)
• دانه طارق
(01012809042)
• ----------
■■ ER PT-NIGHT-🚨🌙 ■■
• Ziad said mohamed
(01028577876)
• سندس أحمد سيد
(01156131096)
• هديل هشام منصور الوشاحي
(01227221344)
• احمد حسين أحمد
(01001877491)
• زينة أشرف حسين
(01067196820)
• احمد حسام الدين صلاح
(01065567736)
• شهاب احمد حلمي
(01055979002)
• احمدنوید قیومی
(01104573242)
• شيماء رمضان سعد
(01021468731)
• ----------
■■ ER TRIAGE-DAY-🚨☀️ ■■
• أعناب طارق عوض
(01146334179)
• ----------
• ----------
• ----------
• ----------
• ----------
• ----------
• ----------
• ----------
• ----------
■■ ER TRIAGE-NIGHT-🚨🌙 ■■
• عمرو عبدالغفار حمزة
(01014246636)
• ----------
• ----------
• ----------
• ----------
• ----------
• ----------
• ----------
• ----------
• ----------
■■ ER WARD-DAY-🚨☀️ ■■
• منة السيد عبد الباقي
(01274588193)
• محمود عبد المحسن إبراهيم
(01062086612)
• مي خالد ابوزيد
(01023578224)
• عمرو وائل سرور
(01023140340)
• مصطفى عبد الراضى صديق
(01226696153)
• كارين باسم صومائيل
(01274209975)
• ----------
• ----------
• ----------
• ----------
■■ ER WARD-NIGHT-🚨🌙 ■■
• محمد احمد بسام الجمل
(01091463337)
• عبدالله احمد
(01020242571)
• نورهان محمد
(0112 826 8287)
• احمد عزت الشيخ
(01226872660)
• مصطفى عبد الراضى صديق
(01226696153)
• احمد ناصر
(01553479200)
• ----------
• ----------
• ----------
• ----------
■■ 🗡️LISTA ■■
• ----------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• ----------
</v>
      </c>
      <c r="C10" s="3" t="str">
        <f>HYPERLINK("#الجدول!A" &amp; 50, "الجدول الأساسي")</f>
        <v>الجدول الأساسي</v>
      </c>
    </row>
    <row r="11">
      <c r="A11" s="1" t="s">
        <v>88</v>
      </c>
      <c r="B11" s="5" t="str">
        <f>"" &amp; "■■ " &amp; 'الجدول'!B1 &amp; " ■■" &amp; CHAR(10) &amp; "• " &amp; 'الجدول'!B61 &amp; CHAR(10) &amp; "• " &amp; 'الجدول'!B62 &amp; CHAR(10) &amp; "• " &amp; 'الجدول'!B63 &amp; CHAR(10) &amp; "• " &amp; 'الجدول'!B64 &amp; CHAR(10) &amp; "• " &amp; 'الجدول'!B65 &amp; CHAR(10) &amp; "• " &amp; 'الجدول'!B66 &amp; CHAR(10) &amp; "• " &amp; 'الجدول'!B67 &amp; CHAR(10) &amp; "• " &amp; 'الجدول'!B68 &amp; CHAR(10) &amp; CHAR(10) &amp; "■■ " &amp; 'الجدول'!C1 &amp; " ■■" &amp; CHAR(10) &amp; "• " &amp; 'الجدول'!C61 &amp; CHAR(10) &amp; "• " &amp; 'الجدول'!C62 &amp; CHAR(10) &amp; "• " &amp; 'الجدول'!C63 &amp; CHAR(10) &amp; "• " &amp; 'الجدول'!C64 &amp; CHAR(10) &amp; "• " &amp; 'الجدول'!C65 &amp; CHAR(10) &amp; "• " &amp; 'الجدول'!C66 &amp; CHAR(10) &amp; "• " &amp; 'الجدول'!C67 &amp; CHAR(10) &amp; "• " &amp; 'الجدول'!C68 &amp; CHAR(10) &amp; CHAR(10) &amp; "■■ " &amp; 'الجدول'!D1 &amp; " ■■" &amp; CHAR(10) &amp; "• " &amp; 'الجدول'!D61 &amp; CHAR(10) &amp; "• " &amp; 'الجدول'!D62 &amp; CHAR(10) &amp; "• " &amp; 'الجدول'!D63 &amp; CHAR(10) &amp; "• " &amp; 'الجدول'!D64 &amp; CHAR(10) &amp; "• " &amp; 'الجدول'!D65 &amp; CHAR(10) &amp; "• " &amp; 'الجدول'!D66 &amp; CHAR(10) &amp; "• " &amp; 'الجدول'!D67 &amp; CHAR(10) &amp; "• " &amp; 'الجدول'!D68 &amp; CHAR(10) &amp; CHAR(10) &amp; "■■ " &amp; 'الجدول'!E1 &amp; " ■■" &amp; CHAR(10) &amp; "• " &amp; 'الجدول'!E61 &amp; CHAR(10) &amp; "• " &amp; 'الجدول'!E62 &amp; CHAR(10) &amp; "• " &amp; 'الجدول'!E63 &amp; CHAR(10) &amp; "• " &amp; 'الجدول'!E64 &amp; CHAR(10) &amp; "• " &amp; 'الجدول'!E65 &amp; CHAR(10) &amp; "• " &amp; 'الجدول'!E66 &amp; CHAR(10) &amp; "• " &amp; 'الجدول'!E67 &amp; CHAR(10) &amp; "• " &amp; 'الجدول'!E68 &amp; CHAR(10) &amp; CHAR(10) &amp; "■■ " &amp; 'الجدول'!F1 &amp; " ■■" &amp; CHAR(10) &amp; "• " &amp; 'الجدول'!F61 &amp; CHAR(10) &amp; "• " &amp; 'الجدول'!F62 &amp; CHAR(10) &amp; "• " &amp; 'الجدول'!F63 &amp; CHAR(10) &amp; "• " &amp; 'الجدول'!F64 &amp; CHAR(10) &amp; "• " &amp; 'الجدول'!F65 &amp; CHAR(10) &amp; "• " &amp; 'الجدول'!F66 &amp; CHAR(10) &amp; "• " &amp; 'الجدول'!F67 &amp; CHAR(10) &amp; "• " &amp; 'الجدول'!F68 &amp; CHAR(10) &amp; CHAR(10) &amp; "■■ " &amp; 'الجدول'!G1 &amp; " ■■" &amp; CHAR(10) &amp; "• " &amp; 'الجدول'!G61 &amp; CHAR(10) &amp; "• " &amp; 'الجدول'!G62 &amp; CHAR(10) &amp; "• " &amp; 'الجدول'!G63 &amp; CHAR(10) &amp; "• " &amp; 'الجدول'!G64 &amp; CHAR(10) &amp; "• " &amp; 'الجدول'!G65 &amp; CHAR(10) &amp; "• " &amp; 'الجدول'!G66 &amp; CHAR(10) &amp; "• " &amp; 'الجدول'!G67 &amp; CHAR(10) &amp; "• " &amp; 'الجدول'!G68 &amp; CHAR(10) &amp; CHAR(10) &amp; "■■ " &amp; 'الجدول'!H1 &amp; " ■■" &amp; CHAR(10) &amp; "• " &amp; 'الجدول'!H61 &amp; CHAR(10) &amp; "• " &amp; 'الجدول'!H62 &amp; CHAR(10) &amp; "• " &amp; 'الجدول'!H63 &amp; CHAR(10) &amp; "• " &amp; 'الجدول'!H64 &amp; CHAR(10) &amp; "• " &amp; 'الجدول'!H65 &amp; CHAR(10) &amp; "• " &amp; 'الجدول'!H66 &amp; CHAR(10) &amp; "• " &amp; 'الجدول'!H67 &amp; CHAR(10) &amp; "• " &amp; 'الجدول'!H68 &amp; CHAR(10) &amp; CHAR(10) &amp; "■■ " &amp; 'الجدول'!I1 &amp; " ■■" &amp; CHAR(10) &amp; "• " &amp; 'الجدول'!I61 &amp; CHAR(10) &amp; "• " &amp; 'الجدول'!I62 &amp; CHAR(10) &amp; "• " &amp; 'الجدول'!I63 &amp; CHAR(10) &amp; "• " &amp; 'الجدول'!I64 &amp; CHAR(10) &amp; "• " &amp; 'الجدول'!I65 &amp; CHAR(10) &amp; "• " &amp; 'الجدول'!I66 &amp; CHAR(10) &amp; "• " &amp; 'الجدول'!I67 &amp; CHAR(10) &amp; "• " &amp; 'الجدول'!I68 &amp; CHAR(10) &amp; CHAR(10) &amp; "■■ " &amp; 'الجدول'!J1 &amp; " ■■" &amp; CHAR(10) &amp; "• " &amp; 'الجدول'!J61 &amp; CHAR(10) &amp; "• " &amp; 'الجدول'!J62 &amp; CHAR(10) &amp; "• " &amp; 'الجدول'!J63 &amp; CHAR(10) &amp; "• " &amp; 'الجدول'!J64 &amp; CHAR(10) &amp; "• " &amp; 'الجدول'!J65 &amp; CHAR(10) &amp; "• " &amp; 'الجدول'!J66 &amp; CHAR(10) &amp; "• " &amp; 'الجدول'!J67 &amp; CHAR(10) &amp; "• " &amp; 'الجدول'!J68 &amp; CHAR(10) &amp; CHAR(10) &amp; "■■ " &amp; 'الجدول'!K1 &amp; " ■■" &amp; CHAR(10) &amp; "• " &amp; 'الجدول'!K61 &amp; CHAR(10) &amp; "• " &amp; 'الجدول'!K62 &amp; CHAR(10) &amp; "• " &amp; 'الجدول'!K63 &amp; CHAR(10) &amp; "• " &amp; 'الجدول'!K64 &amp; CHAR(10) &amp; "• " &amp; 'الجدول'!K65 &amp; CHAR(10) &amp; "• " &amp; 'الجدول'!K66 &amp; CHAR(10) &amp; "• " &amp; 'الجدول'!K67 &amp; CHAR(10) &amp; "• " &amp; 'الجدول'!K68 &amp; CHAR(10) &amp; CHAR(10) &amp; "■■ " &amp; 'الجدول'!L1 &amp; " ■■" &amp; CHAR(10) &amp; "• " &amp; 'الجدول'!L61 &amp; CHAR(10) &amp; "• " &amp; 'الجدول'!L62 &amp; CHAR(10) &amp; "• " &amp; 'الجدول'!L63 &amp; CHAR(10) &amp; "• " &amp; 'الجدول'!L64 &amp; CHAR(10) &amp; "• " &amp; 'الجدول'!L65 &amp; CHAR(10) &amp; "• " &amp; 'الجدول'!L66 &amp; CHAR(10) &amp; "• " &amp; 'الجدول'!L67 &amp; CHAR(10) &amp; "• " &amp; 'الجدول'!L68 &amp; CHAR(10) &amp; CHAR(10) &amp; "■■ " &amp; 'الجدول'!M1 &amp; " ■■" &amp; CHAR(10) &amp; "• " &amp; 'الجدول'!M61 &amp; CHAR(10) &amp; "• " &amp; 'الجدول'!M62 &amp; CHAR(10) &amp; "• " &amp; 'الجدول'!M63 &amp; CHAR(10) &amp; "• " &amp; 'الجدول'!M64 &amp; CHAR(10) &amp; "• " &amp; 'الجدول'!M65 &amp; CHAR(10) &amp; "• " &amp; 'الجدول'!M66 &amp; CHAR(10) &amp; "• " &amp; 'الجدول'!M67 &amp; CHAR(10) &amp; "• " &amp; 'الجدول'!M68 &amp; CHAR(10) &amp; CHAR(10) &amp; "■■ " &amp; 'الجدول'!N1 &amp; " ■■" &amp; CHAR(10) &amp; "• " &amp; 'الجدول'!N61 &amp; CHAR(10) &amp; "• " &amp; 'الجدول'!N62 &amp; CHAR(10) &amp; "• " &amp; 'الجدول'!N63 &amp; CHAR(10) &amp; "• " &amp; 'الجدول'!N64 &amp; CHAR(10) &amp; "• " &amp; 'الجدول'!N65 &amp; CHAR(10) &amp; "• " &amp; 'الجدول'!N66 &amp; CHAR(10) &amp; "• " &amp; 'الجدول'!N67 &amp; CHAR(10) &amp; "• " &amp; 'الجدول'!N68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مصطفى محمد علي محمد بدر
(01150245681)
• مي خالد ابوزيد
(01023578224)
• دانه طارق
(01012809042)
• أحمد رجب محمد
(01273127265)
• منار عواد عبدالعال عواد
(01001915861)
• منة السيد عبد الباقي
(01274588193)
• مينا رومانى عبده
(01212866642)
• رنيم حاتم رفيق بسيسو
(01144758373)
■■ WARD-NIGHT-🌙 ■■
• محمد عمرو محمد عبدالباقي
(01151653320)
• يوسف عاطف رزق الله
(01148183647)
• مريم السيد أحمد خيرالله
(01099882992)
• منه الله هشام السيد
(01002996214)
• عمرو وائل سرور
(01023140340)
• ----------
• ----------
• ----------
</v>
      </c>
      <c r="C11" s="3" t="str">
        <f>HYPERLINK("#الجدول!A" &amp; 60, "الجدول الأساسي")</f>
        <v>الجدول الأساسي</v>
      </c>
    </row>
    <row r="12">
      <c r="A12" s="1" t="s">
        <v>89</v>
      </c>
      <c r="B12" s="5" t="str">
        <f>"" &amp; "■■ " &amp; 'الجدول'!B1 &amp; " ■■" &amp; CHAR(10) &amp; "• " &amp; 'الجدول'!B69 &amp; CHAR(10) &amp; "• " &amp; 'الجدول'!B70 &amp; CHAR(10) &amp; "• " &amp; 'الجدول'!B71 &amp; CHAR(10) &amp; "• " &amp; 'الجدول'!B72 &amp; CHAR(10) &amp; "• " &amp; 'الجدول'!B73 &amp; CHAR(10) &amp; "• " &amp; 'الجدول'!B74 &amp; CHAR(10) &amp; CHAR(10) &amp; "■■ " &amp; 'الجدول'!C1 &amp; " ■■" &amp; CHAR(10) &amp; "• " &amp; 'الجدول'!C69 &amp; CHAR(10) &amp; "• " &amp; 'الجدول'!C70 &amp; CHAR(10) &amp; "• " &amp; 'الجدول'!C71 &amp; CHAR(10) &amp; "• " &amp; 'الجدول'!C72 &amp; CHAR(10) &amp; "• " &amp; 'الجدول'!C73 &amp; CHAR(10) &amp; "• " &amp; 'الجدول'!C74 &amp; CHAR(10) &amp; CHAR(10) &amp; "■■ " &amp; 'الجدول'!D1 &amp; " ■■" &amp; CHAR(10) &amp; "• " &amp; 'الجدول'!D69 &amp; CHAR(10) &amp; "• " &amp; 'الجدول'!D70 &amp; CHAR(10) &amp; "• " &amp; 'الجدول'!D71 &amp; CHAR(10) &amp; "• " &amp; 'الجدول'!D72 &amp; CHAR(10) &amp; "• " &amp; 'الجدول'!D73 &amp; CHAR(10) &amp; "• " &amp; 'الجدول'!D74 &amp; CHAR(10) &amp; CHAR(10) &amp; "■■ " &amp; 'الجدول'!E1 &amp; " ■■" &amp; CHAR(10) &amp; "• " &amp; 'الجدول'!E69 &amp; CHAR(10) &amp; "• " &amp; 'الجدول'!E70 &amp; CHAR(10) &amp; "• " &amp; 'الجدول'!E71 &amp; CHAR(10) &amp; "• " &amp; 'الجدول'!E72 &amp; CHAR(10) &amp; "• " &amp; 'الجدول'!E73 &amp; CHAR(10) &amp; "• " &amp; 'الجدول'!E74 &amp; CHAR(10) &amp; CHAR(10) &amp; "■■ " &amp; 'الجدول'!F1 &amp; " ■■" &amp; CHAR(10) &amp; "• " &amp; 'الجدول'!F69 &amp; CHAR(10) &amp; "• " &amp; 'الجدول'!F70 &amp; CHAR(10) &amp; "• " &amp; 'الجدول'!F71 &amp; CHAR(10) &amp; "• " &amp; 'الجدول'!F72 &amp; CHAR(10) &amp; "• " &amp; 'الجدول'!F73 &amp; CHAR(10) &amp; "• " &amp; 'الجدول'!F74 &amp; CHAR(10) &amp; CHAR(10) &amp; "■■ " &amp; 'الجدول'!G1 &amp; " ■■" &amp; CHAR(10) &amp; "• " &amp; 'الجدول'!G69 &amp; CHAR(10) &amp; "• " &amp; 'الجدول'!G70 &amp; CHAR(10) &amp; "• " &amp; 'الجدول'!G71 &amp; CHAR(10) &amp; "• " &amp; 'الجدول'!G72 &amp; CHAR(10) &amp; "• " &amp; 'الجدول'!G73 &amp; CHAR(10) &amp; "• " &amp; 'الجدول'!G74 &amp; CHAR(10) &amp; CHAR(10) &amp; "■■ " &amp; 'الجدول'!H1 &amp; " ■■" &amp; CHAR(10) &amp; "• " &amp; 'الجدول'!H69 &amp; CHAR(10) &amp; "• " &amp; 'الجدول'!H70 &amp; CHAR(10) &amp; "• " &amp; 'الجدول'!H71 &amp; CHAR(10) &amp; "• " &amp; 'الجدول'!H72 &amp; CHAR(10) &amp; "• " &amp; 'الجدول'!H73 &amp; CHAR(10) &amp; "• " &amp; 'الجدول'!H74 &amp; CHAR(10) &amp; CHAR(10) &amp; "■■ " &amp; 'الجدول'!I1 &amp; " ■■" &amp; CHAR(10) &amp; "• " &amp; 'الجدول'!I69 &amp; CHAR(10) &amp; "• " &amp; 'الجدول'!I70 &amp; CHAR(10) &amp; "• " &amp; 'الجدول'!I71 &amp; CHAR(10) &amp; "• " &amp; 'الجدول'!I72 &amp; CHAR(10) &amp; "• " &amp; 'الجدول'!I73 &amp; CHAR(10) &amp; "• " &amp; 'الجدول'!I74 &amp; CHAR(10) &amp; CHAR(10) &amp; "■■ " &amp; 'الجدول'!J1 &amp; " ■■" &amp; CHAR(10) &amp; "• " &amp; 'الجدول'!J69 &amp; CHAR(10) &amp; "• " &amp; 'الجدول'!J70 &amp; CHAR(10) &amp; "• " &amp; 'الجدول'!J71 &amp; CHAR(10) &amp; "• " &amp; 'الجدول'!J72 &amp; CHAR(10) &amp; "• " &amp; 'الجدول'!J73 &amp; CHAR(10) &amp; "• " &amp; 'الجدول'!J74 &amp; CHAR(10) &amp; CHAR(10) &amp; "■■ " &amp; 'الجدول'!K1 &amp; " ■■" &amp; CHAR(10) &amp; "• " &amp; 'الجدول'!K69 &amp; CHAR(10) &amp; "• " &amp; 'الجدول'!K70 &amp; CHAR(10) &amp; "• " &amp; 'الجدول'!K71 &amp; CHAR(10) &amp; "• " &amp; 'الجدول'!K72 &amp; CHAR(10) &amp; "• " &amp; 'الجدول'!K73 &amp; CHAR(10) &amp; "• " &amp; 'الجدول'!K74 &amp; CHAR(10) &amp; CHAR(10) &amp; "■■ " &amp; 'الجدول'!L1 &amp; " ■■" &amp; CHAR(10) &amp; "• " &amp; 'الجدول'!L69 &amp; CHAR(10) &amp; "• " &amp; 'الجدول'!L70 &amp; CHAR(10) &amp; "• " &amp; 'الجدول'!L71 &amp; CHAR(10) &amp; "• " &amp; 'الجدول'!L72 &amp; CHAR(10) &amp; "• " &amp; 'الجدول'!L73 &amp; CHAR(10) &amp; "• " &amp; 'الجدول'!L74 &amp; CHAR(10) &amp; CHAR(10) &amp; "■■ " &amp; 'الجدول'!M1 &amp; " ■■" &amp; CHAR(10) &amp; "• " &amp; 'الجدول'!M69 &amp; CHAR(10) &amp; "• " &amp; 'الجدول'!M70 &amp; CHAR(10) &amp; "• " &amp; 'الجدول'!M71 &amp; CHAR(10) &amp; "• " &amp; 'الجدول'!M72 &amp; CHAR(10) &amp; "• " &amp; 'الجدول'!M73 &amp; CHAR(10) &amp; "• " &amp; 'الجدول'!M74 &amp; CHAR(10) &amp; CHAR(10) &amp; "■■ " &amp; 'الجدول'!N1 &amp; " ■■" &amp; CHAR(10) &amp; "• " &amp; 'الجدول'!N69 &amp; CHAR(10) &amp; "• " &amp; 'الجدول'!N70 &amp; CHAR(10) &amp; "• " &amp; 'الجدول'!N71 &amp; CHAR(10) &amp; "• " &amp; 'الجدول'!N72 &amp; CHAR(10) &amp; "• " &amp; 'الجدول'!N73 &amp; CHAR(10) &amp; "• " &amp; 'الجدول'!N74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احمد حسام الدين صلاح
(01065567736)
• زينة أشرف حسين
(01067196820)
• ريهام سعد عبدالرحمن
(01124867574)
• ----------
• ----------
• ----------
■■ WARD-DAY-☀️ ■■
• محمود عبد المحسن إبراهيم
(01062086612)
• استيفن مدحت منير
(01200226122)
• مينا رومانى عبده
(01212866642)
• يارا إبراهيم سيد
(01021880370)
• حنان النبوى محمد
(01067888751)
• أعناب طارق عوض
(01146334179)
■■ WARD-NIGHT-🌙 ■■
• مي طارق نهاد
(01287477488)
• احمد ناصر
(01553479200)
• هديل هشام منصور الوشاحي
(01227221344)
• محمد عمرو محمد عبدالباقي
(01151653320)
• ----------
• ----------
</v>
      </c>
      <c r="C12" s="3" t="str">
        <f>HYPERLINK("#الجدول!A" &amp; 68, "الجدول الأساسي")</f>
        <v>الجدول الأساسي</v>
      </c>
    </row>
    <row r="13">
      <c r="A13" s="1" t="s">
        <v>90</v>
      </c>
      <c r="B13" s="5" t="str">
        <f>"" &amp; "■■ " &amp; 'الجدول'!B1 &amp; " ■■" &amp; CHAR(10) &amp; "• " &amp; 'الجدول'!B75 &amp; CHAR(10) &amp; "• " &amp; 'الجدول'!B76 &amp; CHAR(10) &amp; "• " &amp; 'الجدول'!B77 &amp; CHAR(10) &amp; "• " &amp; 'الجدول'!B78 &amp; CHAR(10) &amp; "• " &amp; 'الجدول'!B79 &amp; CHAR(10) &amp; "• " &amp; 'الجدول'!B80 &amp; CHAR(10) &amp; CHAR(10) &amp; "■■ " &amp; 'الجدول'!C1 &amp; " ■■" &amp; CHAR(10) &amp; "• " &amp; 'الجدول'!C75 &amp; CHAR(10) &amp; "• " &amp; 'الجدول'!C76 &amp; CHAR(10) &amp; "• " &amp; 'الجدول'!C77 &amp; CHAR(10) &amp; "• " &amp; 'الجدول'!C78 &amp; CHAR(10) &amp; "• " &amp; 'الجدول'!C79 &amp; CHAR(10) &amp; "• " &amp; 'الجدول'!C80 &amp; CHAR(10) &amp; CHAR(10) &amp; "■■ " &amp; 'الجدول'!D1 &amp; " ■■" &amp; CHAR(10) &amp; "• " &amp; 'الجدول'!D75 &amp; CHAR(10) &amp; "• " &amp; 'الجدول'!D76 &amp; CHAR(10) &amp; "• " &amp; 'الجدول'!D77 &amp; CHAR(10) &amp; "• " &amp; 'الجدول'!D78 &amp; CHAR(10) &amp; "• " &amp; 'الجدول'!D79 &amp; CHAR(10) &amp; "• " &amp; 'الجدول'!D80 &amp; CHAR(10) &amp; CHAR(10) &amp; "■■ " &amp; 'الجدول'!E1 &amp; " ■■" &amp; CHAR(10) &amp; "• " &amp; 'الجدول'!E75 &amp; CHAR(10) &amp; "• " &amp; 'الجدول'!E76 &amp; CHAR(10) &amp; "• " &amp; 'الجدول'!E77 &amp; CHAR(10) &amp; "• " &amp; 'الجدول'!E78 &amp; CHAR(10) &amp; "• " &amp; 'الجدول'!E79 &amp; CHAR(10) &amp; "• " &amp; 'الجدول'!E80 &amp; CHAR(10) &amp; CHAR(10) &amp; "■■ " &amp; 'الجدول'!F1 &amp; " ■■" &amp; CHAR(10) &amp; "• " &amp; 'الجدول'!F75 &amp; CHAR(10) &amp; "• " &amp; 'الجدول'!F76 &amp; CHAR(10) &amp; "• " &amp; 'الجدول'!F77 &amp; CHAR(10) &amp; "• " &amp; 'الجدول'!F78 &amp; CHAR(10) &amp; "• " &amp; 'الجدول'!F79 &amp; CHAR(10) &amp; "• " &amp; 'الجدول'!F80 &amp; CHAR(10) &amp; CHAR(10) &amp; "■■ " &amp; 'الجدول'!G1 &amp; " ■■" &amp; CHAR(10) &amp; "• " &amp; 'الجدول'!G75 &amp; CHAR(10) &amp; "• " &amp; 'الجدول'!G76 &amp; CHAR(10) &amp; "• " &amp; 'الجدول'!G77 &amp; CHAR(10) &amp; "• " &amp; 'الجدول'!G78 &amp; CHAR(10) &amp; "• " &amp; 'الجدول'!G79 &amp; CHAR(10) &amp; "• " &amp; 'الجدول'!G80 &amp; CHAR(10) &amp; CHAR(10) &amp; "■■ " &amp; 'الجدول'!H1 &amp; " ■■" &amp; CHAR(10) &amp; "• " &amp; 'الجدول'!H75 &amp; CHAR(10) &amp; "• " &amp; 'الجدول'!H76 &amp; CHAR(10) &amp; "• " &amp; 'الجدول'!H77 &amp; CHAR(10) &amp; "• " &amp; 'الجدول'!H78 &amp; CHAR(10) &amp; "• " &amp; 'الجدول'!H79 &amp; CHAR(10) &amp; "• " &amp; 'الجدول'!H80 &amp; CHAR(10) &amp; CHAR(10) &amp; "■■ " &amp; 'الجدول'!I1 &amp; " ■■" &amp; CHAR(10) &amp; "• " &amp; 'الجدول'!I75 &amp; CHAR(10) &amp; "• " &amp; 'الجدول'!I76 &amp; CHAR(10) &amp; "• " &amp; 'الجدول'!I77 &amp; CHAR(10) &amp; "• " &amp; 'الجدول'!I78 &amp; CHAR(10) &amp; "• " &amp; 'الجدول'!I79 &amp; CHAR(10) &amp; "• " &amp; 'الجدول'!I80 &amp; CHAR(10) &amp; CHAR(10) &amp; "■■ " &amp; 'الجدول'!J1 &amp; " ■■" &amp; CHAR(10) &amp; "• " &amp; 'الجدول'!J75 &amp; CHAR(10) &amp; "• " &amp; 'الجدول'!J76 &amp; CHAR(10) &amp; "• " &amp; 'الجدول'!J77 &amp; CHAR(10) &amp; "• " &amp; 'الجدول'!J78 &amp; CHAR(10) &amp; "• " &amp; 'الجدول'!J79 &amp; CHAR(10) &amp; "• " &amp; 'الجدول'!J80 &amp; CHAR(10) &amp; CHAR(10) &amp; "■■ " &amp; 'الجدول'!K1 &amp; " ■■" &amp; CHAR(10) &amp; "• " &amp; 'الجدول'!K75 &amp; CHAR(10) &amp; "• " &amp; 'الجدول'!K76 &amp; CHAR(10) &amp; "• " &amp; 'الجدول'!K77 &amp; CHAR(10) &amp; "• " &amp; 'الجدول'!K78 &amp; CHAR(10) &amp; "• " &amp; 'الجدول'!K79 &amp; CHAR(10) &amp; "• " &amp; 'الجدول'!K80 &amp; CHAR(10) &amp; CHAR(10) &amp; "■■ " &amp; 'الجدول'!L1 &amp; " ■■" &amp; CHAR(10) &amp; "• " &amp; 'الجدول'!L75 &amp; CHAR(10) &amp; "• " &amp; 'الجدول'!L76 &amp; CHAR(10) &amp; "• " &amp; 'الجدول'!L77 &amp; CHAR(10) &amp; "• " &amp; 'الجدول'!L78 &amp; CHAR(10) &amp; "• " &amp; 'الجدول'!L79 &amp; CHAR(10) &amp; "• " &amp; 'الجدول'!L80 &amp; CHAR(10) &amp; CHAR(10) &amp; "■■ " &amp; 'الجدول'!M1 &amp; " ■■" &amp; CHAR(10) &amp; "• " &amp; 'الجدول'!M75 &amp; CHAR(10) &amp; "• " &amp; 'الجدول'!M76 &amp; CHAR(10) &amp; "• " &amp; 'الجدول'!M77 &amp; CHAR(10) &amp; "• " &amp; 'الجدول'!M78 &amp; CHAR(10) &amp; "• " &amp; 'الجدول'!M79 &amp; CHAR(10) &amp; "• " &amp; 'الجدول'!M80 &amp; CHAR(10) &amp; CHAR(10) &amp; "■■ " &amp; 'الجدول'!N1 &amp; " ■■" &amp; CHAR(10) &amp; "• " &amp; 'الجدول'!N75 &amp; CHAR(10) &amp; "• " &amp; 'الجدول'!N76 &amp; CHAR(10) &amp; "• " &amp; 'الجدول'!N77 &amp; CHAR(10) &amp; "• " &amp; 'الجدول'!N78 &amp; CHAR(10) &amp; "• " &amp; 'الجدول'!N79 &amp; CHAR(10) &amp; "• " &amp; 'الجدول'!N80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روان ياسر سليم
(01005005160)
• رنيم حاتم رفيق بسيسو
(01144758373)
• سلمى أبوالعلا
(01124166114)
• منار احمد سعيد
(01092708033)
• بلال جودة
(01066199644)
• عمر حسن محمد حسن حجازي
(01019701020)
■■ WARD-NIGHT-🌙 ■■
• زينة أشرف حسين
(01067196820)
• ملك محمد فؤاد
(01001721072)
• احمد حسين أحمد
(01001877491)
• سندس أحمد سيد
(01156131096)
• ----------
• ----------
</v>
      </c>
      <c r="C13" s="3" t="str">
        <f>HYPERLINK("#الجدول!A" &amp; 74, "الجدول الأساسي")</f>
        <v>الجدول الأساسي</v>
      </c>
    </row>
    <row r="14">
      <c r="A14" s="1" t="s">
        <v>91</v>
      </c>
      <c r="B14" s="5" t="str">
        <f>"" &amp; "■■ " &amp; 'الجدول'!B1 &amp; " ■■" &amp; CHAR(10) &amp; "• " &amp; 'الجدول'!B81 &amp; CHAR(10) &amp; "• " &amp; 'الجدول'!B82 &amp; CHAR(10) &amp; "• " &amp; 'الجدول'!B83 &amp; CHAR(10) &amp; "• " &amp; 'الجدول'!B84 &amp; CHAR(10) &amp; "• " &amp; 'الجدول'!B85 &amp; CHAR(10) &amp; CHAR(10) &amp; "■■ " &amp; 'الجدول'!C1 &amp; " ■■" &amp; CHAR(10) &amp; "• " &amp; 'الجدول'!C81 &amp; CHAR(10) &amp; "• " &amp; 'الجدول'!C82 &amp; CHAR(10) &amp; "• " &amp; 'الجدول'!C83 &amp; CHAR(10) &amp; "• " &amp; 'الجدول'!C84 &amp; CHAR(10) &amp; "• " &amp; 'الجدول'!C85 &amp; CHAR(10) &amp; CHAR(10) &amp; "■■ " &amp; 'الجدول'!D1 &amp; " ■■" &amp; CHAR(10) &amp; "• " &amp; 'الجدول'!D81 &amp; CHAR(10) &amp; "• " &amp; 'الجدول'!D82 &amp; CHAR(10) &amp; "• " &amp; 'الجدول'!D83 &amp; CHAR(10) &amp; "• " &amp; 'الجدول'!D84 &amp; CHAR(10) &amp; "• " &amp; 'الجدول'!D85 &amp; CHAR(10) &amp; CHAR(10) &amp; "■■ " &amp; 'الجدول'!E1 &amp; " ■■" &amp; CHAR(10) &amp; "• " &amp; 'الجدول'!E81 &amp; CHAR(10) &amp; "• " &amp; 'الجدول'!E82 &amp; CHAR(10) &amp; "• " &amp; 'الجدول'!E83 &amp; CHAR(10) &amp; "• " &amp; 'الجدول'!E84 &amp; CHAR(10) &amp; "• " &amp; 'الجدول'!E85 &amp; CHAR(10) &amp; CHAR(10) &amp; "■■ " &amp; 'الجدول'!F1 &amp; " ■■" &amp; CHAR(10) &amp; "• " &amp; 'الجدول'!F81 &amp; CHAR(10) &amp; "• " &amp; 'الجدول'!F82 &amp; CHAR(10) &amp; "• " &amp; 'الجدول'!F83 &amp; CHAR(10) &amp; "• " &amp; 'الجدول'!F84 &amp; CHAR(10) &amp; "• " &amp; 'الجدول'!F85 &amp; CHAR(10) &amp; CHAR(10) &amp; "■■ " &amp; 'الجدول'!G1 &amp; " ■■" &amp; CHAR(10) &amp; "• " &amp; 'الجدول'!G81 &amp; CHAR(10) &amp; "• " &amp; 'الجدول'!G82 &amp; CHAR(10) &amp; "• " &amp; 'الجدول'!G83 &amp; CHAR(10) &amp; "• " &amp; 'الجدول'!G84 &amp; CHAR(10) &amp; "• " &amp; 'الجدول'!G85 &amp; CHAR(10) &amp; CHAR(10) &amp; "■■ " &amp; 'الجدول'!H1 &amp; " ■■" &amp; CHAR(10) &amp; "• " &amp; 'الجدول'!H81 &amp; CHAR(10) &amp; "• " &amp; 'الجدول'!H82 &amp; CHAR(10) &amp; "• " &amp; 'الجدول'!H83 &amp; CHAR(10) &amp; "• " &amp; 'الجدول'!H84 &amp; CHAR(10) &amp; "• " &amp; 'الجدول'!H85 &amp; CHAR(10) &amp; CHAR(10) &amp; "■■ " &amp; 'الجدول'!I1 &amp; " ■■" &amp; CHAR(10) &amp; "• " &amp; 'الجدول'!I81 &amp; CHAR(10) &amp; "• " &amp; 'الجدول'!I82 &amp; CHAR(10) &amp; "• " &amp; 'الجدول'!I83 &amp; CHAR(10) &amp; "• " &amp; 'الجدول'!I84 &amp; CHAR(10) &amp; "• " &amp; 'الجدول'!I85 &amp; CHAR(10) &amp; CHAR(10) &amp; "■■ " &amp; 'الجدول'!J1 &amp; " ■■" &amp; CHAR(10) &amp; "• " &amp; 'الجدول'!J81 &amp; CHAR(10) &amp; "• " &amp; 'الجدول'!J82 &amp; CHAR(10) &amp; "• " &amp; 'الجدول'!J83 &amp; CHAR(10) &amp; "• " &amp; 'الجدول'!J84 &amp; CHAR(10) &amp; "• " &amp; 'الجدول'!J85 &amp; CHAR(10) &amp; CHAR(10) &amp; "■■ " &amp; 'الجدول'!K1 &amp; " ■■" &amp; CHAR(10) &amp; "• " &amp; 'الجدول'!K81 &amp; CHAR(10) &amp; "• " &amp; 'الجدول'!K82 &amp; CHAR(10) &amp; "• " &amp; 'الجدول'!K83 &amp; CHAR(10) &amp; "• " &amp; 'الجدول'!K84 &amp; CHAR(10) &amp; "• " &amp; 'الجدول'!K85 &amp; CHAR(10) &amp; CHAR(10) &amp; "■■ " &amp; 'الجدول'!L1 &amp; " ■■" &amp; CHAR(10) &amp; "• " &amp; 'الجدول'!L81 &amp; CHAR(10) &amp; "• " &amp; 'الجدول'!L82 &amp; CHAR(10) &amp; "• " &amp; 'الجدول'!L83 &amp; CHAR(10) &amp; "• " &amp; 'الجدول'!L84 &amp; CHAR(10) &amp; "• " &amp; 'الجدول'!L85 &amp; CHAR(10) &amp; CHAR(10) &amp; "■■ " &amp; 'الجدول'!M1 &amp; " ■■" &amp; CHAR(10) &amp; "• " &amp; 'الجدول'!M81 &amp; CHAR(10) &amp; "• " &amp; 'الجدول'!M82 &amp; CHAR(10) &amp; "• " &amp; 'الجدول'!M83 &amp; CHAR(10) &amp; "• " &amp; 'الجدول'!M84 &amp; CHAR(10) &amp; "• " &amp; 'الجدول'!M85 &amp; CHAR(10) &amp; CHAR(10) &amp; "■■ " &amp; 'الجدول'!N1 &amp; " ■■" &amp; CHAR(10) &amp; "• " &amp; 'الجدول'!N81 &amp; CHAR(10) &amp; "• " &amp; 'الجدول'!N82 &amp; CHAR(10) &amp; "• " &amp; 'الجدول'!N83 &amp; CHAR(10) &amp; "• " &amp; 'الجدول'!N84 &amp; CHAR(10) &amp; "• " &amp; 'الجدول'!N85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رنا اكرم احمد
(01122182132)
• مها حسين السيد
(01012349071)
• استيفن مدحت منير
(01200226122)
• عبدالمسيح مكرم
(01203267885)
• كارين روماني راشد
(01102663062)
■■ WARD-NIGHT-🌙 ■■
• شهاب احمد حلمي
(01055979002)
• أحمد زيدان
(01110524147)
• تقى عماد حسني
(01119716276)
• ----------
• ----------
</v>
      </c>
      <c r="C14" s="3" t="str">
        <f>HYPERLINK("#الجدول!A" &amp; 80, "الجدول الأساسي")</f>
        <v>الجدول الأساسي</v>
      </c>
    </row>
    <row r="15">
      <c r="A15" s="1" t="s">
        <v>92</v>
      </c>
      <c r="B15" s="5" t="str">
        <f>"" &amp; "■■ " &amp; 'الجدول'!B1 &amp; " ■■" &amp; CHAR(10) &amp; "• " &amp; 'الجدول'!B86 &amp; CHAR(10) &amp; "• " &amp; 'الجدول'!B87 &amp; CHAR(10) &amp; "• " &amp; 'الجدول'!B88 &amp; CHAR(10) &amp; "• " &amp; 'الجدول'!B89 &amp; CHAR(10) &amp; CHAR(10) &amp; "■■ " &amp; 'الجدول'!C1 &amp; " ■■" &amp; CHAR(10) &amp; "• " &amp; 'الجدول'!C86 &amp; CHAR(10) &amp; "• " &amp; 'الجدول'!C87 &amp; CHAR(10) &amp; "• " &amp; 'الجدول'!C88 &amp; CHAR(10) &amp; "• " &amp; 'الجدول'!C89 &amp; CHAR(10) &amp; CHAR(10) &amp; "■■ " &amp; 'الجدول'!D1 &amp; " ■■" &amp; CHAR(10) &amp; "• " &amp; 'الجدول'!D86 &amp; CHAR(10) &amp; "• " &amp; 'الجدول'!D87 &amp; CHAR(10) &amp; "• " &amp; 'الجدول'!D88 &amp; CHAR(10) &amp; "• " &amp; 'الجدول'!D89 &amp; CHAR(10) &amp; CHAR(10) &amp; "■■ " &amp; 'الجدول'!E1 &amp; " ■■" &amp; CHAR(10) &amp; "• " &amp; 'الجدول'!E86 &amp; CHAR(10) &amp; "• " &amp; 'الجدول'!E87 &amp; CHAR(10) &amp; "• " &amp; 'الجدول'!E88 &amp; CHAR(10) &amp; "• " &amp; 'الجدول'!E89 &amp; CHAR(10) &amp; CHAR(10) &amp; "■■ " &amp; 'الجدول'!F1 &amp; " ■■" &amp; CHAR(10) &amp; "• " &amp; 'الجدول'!F86 &amp; CHAR(10) &amp; "• " &amp; 'الجدول'!F87 &amp; CHAR(10) &amp; "• " &amp; 'الجدول'!F88 &amp; CHAR(10) &amp; "• " &amp; 'الجدول'!F89 &amp; CHAR(10) &amp; CHAR(10) &amp; "■■ " &amp; 'الجدول'!G1 &amp; " ■■" &amp; CHAR(10) &amp; "• " &amp; 'الجدول'!G86 &amp; CHAR(10) &amp; "• " &amp; 'الجدول'!G87 &amp; CHAR(10) &amp; "• " &amp; 'الجدول'!G88 &amp; CHAR(10) &amp; "• " &amp; 'الجدول'!G89 &amp; CHAR(10) &amp; CHAR(10) &amp; "■■ " &amp; 'الجدول'!H1 &amp; " ■■" &amp; CHAR(10) &amp; "• " &amp; 'الجدول'!H86 &amp; CHAR(10) &amp; "• " &amp; 'الجدول'!H87 &amp; CHAR(10) &amp; "• " &amp; 'الجدول'!H88 &amp; CHAR(10) &amp; "• " &amp; 'الجدول'!H89 &amp; CHAR(10) &amp; CHAR(10) &amp; "■■ " &amp; 'الجدول'!I1 &amp; " ■■" &amp; CHAR(10) &amp; "• " &amp; 'الجدول'!I86 &amp; CHAR(10) &amp; "• " &amp; 'الجدول'!I87 &amp; CHAR(10) &amp; "• " &amp; 'الجدول'!I88 &amp; CHAR(10) &amp; "• " &amp; 'الجدول'!I89 &amp; CHAR(10) &amp; CHAR(10) &amp; "■■ " &amp; 'الجدول'!J1 &amp; " ■■" &amp; CHAR(10) &amp; "• " &amp; 'الجدول'!J86 &amp; CHAR(10) &amp; "• " &amp; 'الجدول'!J87 &amp; CHAR(10) &amp; "• " &amp; 'الجدول'!J88 &amp; CHAR(10) &amp; "• " &amp; 'الجدول'!J89 &amp; CHAR(10) &amp; CHAR(10) &amp; "■■ " &amp; 'الجدول'!K1 &amp; " ■■" &amp; CHAR(10) &amp; "• " &amp; 'الجدول'!K86 &amp; CHAR(10) &amp; "• " &amp; 'الجدول'!K87 &amp; CHAR(10) &amp; "• " &amp; 'الجدول'!K88 &amp; CHAR(10) &amp; "• " &amp; 'الجدول'!K89 &amp; CHAR(10) &amp; CHAR(10) &amp; "■■ " &amp; 'الجدول'!L1 &amp; " ■■" &amp; CHAR(10) &amp; "• " &amp; 'الجدول'!L86 &amp; CHAR(10) &amp; "• " &amp; 'الجدول'!L87 &amp; CHAR(10) &amp; "• " &amp; 'الجدول'!L88 &amp; CHAR(10) &amp; "• " &amp; 'الجدول'!L89 &amp; CHAR(10) &amp; CHAR(10) &amp; "■■ " &amp; 'الجدول'!M1 &amp; " ■■" &amp; CHAR(10) &amp; "• " &amp; 'الجدول'!M86 &amp; CHAR(10) &amp; "• " &amp; 'الجدول'!M87 &amp; CHAR(10) &amp; "• " &amp; 'الجدول'!M88 &amp; CHAR(10) &amp; "• " &amp; 'الجدول'!M89 &amp; CHAR(10) &amp; CHAR(10) &amp; "■■ " &amp; 'الجدول'!N1 &amp; " ■■" &amp; CHAR(10) &amp; "• " &amp; 'الجدول'!N86 &amp; CHAR(10) &amp; "• " &amp; 'الجدول'!N87 &amp; CHAR(10) &amp; "• " &amp; 'الجدول'!N88 &amp; CHAR(10) &amp; "• " &amp; 'الجدول'!N89 &amp; CHAR(10) &amp; CHAR(10)</f>
        <v>■■ ER ADMISSION-NIGHT-🚨🌙 ■■
• ----------
• ----------
• ----------
• ----------
■■ ER ADMISSIONS -DAY-🚨☀️ ■■
• ----------
• ----------
• ----------
• ----------
■■ ER GENERAL-DAY-🚨☀️ ■■
• ----------
• ----------
• ----------
• ----------
■■ ER GENERAL-NIGHT-🚨🌙 ■■
• ----------
• ----------
• ----------
• ----------
■■ ER PT-DAY-🚨☀️ ■■
• ----------
• ----------
• ----------
• ----------
■■ ER PT-NIGHT-🚨🌙 ■■
• ----------
• ----------
• ----------
• ----------
■■ ER TRIAGE-DAY-🚨☀️ ■■
• ----------
• ----------
• ----------
• ----------
■■ ER TRIAGE-NIGHT-🚨🌙 ■■
• ----------
• ----------
• ----------
• ----------
■■ ER WARD-DAY-🚨☀️ ■■
• ----------
• ----------
• ----------
• ----------
■■ ER WARD-NIGHT-🚨🌙 ■■
• ----------
• ----------
• ----------
• ----------
■■ 🗡️LISTA ■■
• ----------
• ----------
• ----------
• ----------
■■ WARD-DAY-☀️ ■■
• ريهام سعد عبدالرحمن
(01124867574)
• Alaa mahmoud El haddad
(01033882560)
• Mostafa Ismail
(01022400525)
• شيماء رمضان سعد
(01021468731)
■■ WARD-NIGHT-🌙 ■■
• عبدالله احمد
(01020242571)
• حنان النبوى محمد
(01067888751)
• شدو محمد شلتوت
(1550336384)
• Ziad said mohamed
(01028577876)
</v>
      </c>
      <c r="C15" s="3" t="str">
        <f>HYPERLINK("#الجدول!A" &amp; 85, "الجدول الأساسي")</f>
        <v>الجدول الأساسي</v>
      </c>
    </row>
    <row r="16">
      <c r="A16" s="1" t="s">
        <v>93</v>
      </c>
      <c r="B16" s="5" t="str">
        <f>"" &amp; "■■ " &amp; 'الجدول'!B1 &amp; " ■■" &amp; CHAR(10) &amp; "• " &amp; 'الجدول'!B90 &amp; CHAR(10) &amp; "• " &amp; 'الجدول'!B91 &amp; CHAR(10) &amp; "• " &amp; 'الجدول'!B92 &amp; CHAR(10) &amp; "• " &amp; 'الجدول'!B93 &amp; CHAR(10) &amp; "• " &amp; 'الجدول'!B94 &amp; CHAR(10) &amp; CHAR(10) &amp; "■■ " &amp; 'الجدول'!C1 &amp; " ■■" &amp; CHAR(10) &amp; "• " &amp; 'الجدول'!C90 &amp; CHAR(10) &amp; "• " &amp; 'الجدول'!C91 &amp; CHAR(10) &amp; "• " &amp; 'الجدول'!C92 &amp; CHAR(10) &amp; "• " &amp; 'الجدول'!C93 &amp; CHAR(10) &amp; "• " &amp; 'الجدول'!C94 &amp; CHAR(10) &amp; CHAR(10) &amp; "■■ " &amp; 'الجدول'!D1 &amp; " ■■" &amp; CHAR(10) &amp; "• " &amp; 'الجدول'!D90 &amp; CHAR(10) &amp; "• " &amp; 'الجدول'!D91 &amp; CHAR(10) &amp; "• " &amp; 'الجدول'!D92 &amp; CHAR(10) &amp; "• " &amp; 'الجدول'!D93 &amp; CHAR(10) &amp; "• " &amp; 'الجدول'!D94 &amp; CHAR(10) &amp; CHAR(10) &amp; "■■ " &amp; 'الجدول'!E1 &amp; " ■■" &amp; CHAR(10) &amp; "• " &amp; 'الجدول'!E90 &amp; CHAR(10) &amp; "• " &amp; 'الجدول'!E91 &amp; CHAR(10) &amp; "• " &amp; 'الجدول'!E92 &amp; CHAR(10) &amp; "• " &amp; 'الجدول'!E93 &amp; CHAR(10) &amp; "• " &amp; 'الجدول'!E94 &amp; CHAR(10) &amp; CHAR(10) &amp; "■■ " &amp; 'الجدول'!F1 &amp; " ■■" &amp; CHAR(10) &amp; "• " &amp; 'الجدول'!F90 &amp; CHAR(10) &amp; "• " &amp; 'الجدول'!F91 &amp; CHAR(10) &amp; "• " &amp; 'الجدول'!F92 &amp; CHAR(10) &amp; "• " &amp; 'الجدول'!F93 &amp; CHAR(10) &amp; "• " &amp; 'الجدول'!F94 &amp; CHAR(10) &amp; CHAR(10) &amp; "■■ " &amp; 'الجدول'!G1 &amp; " ■■" &amp; CHAR(10) &amp; "• " &amp; 'الجدول'!G90 &amp; CHAR(10) &amp; "• " &amp; 'الجدول'!G91 &amp; CHAR(10) &amp; "• " &amp; 'الجدول'!G92 &amp; CHAR(10) &amp; "• " &amp; 'الجدول'!G93 &amp; CHAR(10) &amp; "• " &amp; 'الجدول'!G94 &amp; CHAR(10) &amp; CHAR(10) &amp; "■■ " &amp; 'الجدول'!H1 &amp; " ■■" &amp; CHAR(10) &amp; "• " &amp; 'الجدول'!H90 &amp; CHAR(10) &amp; "• " &amp; 'الجدول'!H91 &amp; CHAR(10) &amp; "• " &amp; 'الجدول'!H92 &amp; CHAR(10) &amp; "• " &amp; 'الجدول'!H93 &amp; CHAR(10) &amp; "• " &amp; 'الجدول'!H94 &amp; CHAR(10) &amp; CHAR(10) &amp; "■■ " &amp; 'الجدول'!I1 &amp; " ■■" &amp; CHAR(10) &amp; "• " &amp; 'الجدول'!I90 &amp; CHAR(10) &amp; "• " &amp; 'الجدول'!I91 &amp; CHAR(10) &amp; "• " &amp; 'الجدول'!I92 &amp; CHAR(10) &amp; "• " &amp; 'الجدول'!I93 &amp; CHAR(10) &amp; "• " &amp; 'الجدول'!I94 &amp; CHAR(10) &amp; CHAR(10) &amp; "■■ " &amp; 'الجدول'!J1 &amp; " ■■" &amp; CHAR(10) &amp; "• " &amp; 'الجدول'!J90 &amp; CHAR(10) &amp; "• " &amp; 'الجدول'!J91 &amp; CHAR(10) &amp; "• " &amp; 'الجدول'!J92 &amp; CHAR(10) &amp; "• " &amp; 'الجدول'!J93 &amp; CHAR(10) &amp; "• " &amp; 'الجدول'!J94 &amp; CHAR(10) &amp; CHAR(10) &amp; "■■ " &amp; 'الجدول'!K1 &amp; " ■■" &amp; CHAR(10) &amp; "• " &amp; 'الجدول'!K90 &amp; CHAR(10) &amp; "• " &amp; 'الجدول'!K91 &amp; CHAR(10) &amp; "• " &amp; 'الجدول'!K92 &amp; CHAR(10) &amp; "• " &amp; 'الجدول'!K93 &amp; CHAR(10) &amp; "• " &amp; 'الجدول'!K94 &amp; CHAR(10) &amp; CHAR(10) &amp; "■■ " &amp; 'الجدول'!L1 &amp; " ■■" &amp; CHAR(10) &amp; "• " &amp; 'الجدول'!L90 &amp; CHAR(10) &amp; "• " &amp; 'الجدول'!L91 &amp; CHAR(10) &amp; "• " &amp; 'الجدول'!L92 &amp; CHAR(10) &amp; "• " &amp; 'الجدول'!L93 &amp; CHAR(10) &amp; "• " &amp; 'الجدول'!L94 &amp; CHAR(10) &amp; CHAR(10) &amp; "■■ " &amp; 'الجدول'!M1 &amp; " ■■" &amp; CHAR(10) &amp; "• " &amp; 'الجدول'!M90 &amp; CHAR(10) &amp; "• " &amp; 'الجدول'!M91 &amp; CHAR(10) &amp; "• " &amp; 'الجدول'!M92 &amp; CHAR(10) &amp; "• " &amp; 'الجدول'!M93 &amp; CHAR(10) &amp; "• " &amp; 'الجدول'!M94 &amp; CHAR(10) &amp; CHAR(10) &amp; "■■ " &amp; 'الجدول'!N1 &amp; " ■■" &amp; CHAR(10) &amp; "• " &amp; 'الجدول'!N90 &amp; CHAR(10) &amp; "• " &amp; 'الجدول'!N91 &amp; CHAR(10) &amp; "• " &amp; 'الجدول'!N92 &amp; CHAR(10) &amp; "• " &amp; 'الجدول'!N93 &amp; CHAR(10) &amp; "• " &amp; 'الجدول'!N94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احمد ايهاب محمد عواد
(01032298339)
• نورهان محمد
(0112 826 8287)
• عمر حسن محمد حسن حجازي
(01019701020)
• ----------
• ----------
■■ WARD-DAY-☀️ ■■
• محمد محمود ابراهيم
(01112057358)
• رؤى أحمد عبدالحميد البليهي
(01021284862)
• روان ياسر سليم
(01005005160)
• هديل نادي محند
(01033032220)
• منار عواد عبدالعال عواد
(01001915861)
■■ WARD-NIGHT-🌙 ■■
• عمر محمد سيد
(01000688544)
• يوسف طه السيد
(01207620695)
• احمد ايهاب محمد عواد
(01032298339)
• ----------
• ----------
</v>
      </c>
      <c r="C16" s="3" t="str">
        <f>HYPERLINK("#الجدول!A" &amp; 89, "الجدول الأساسي")</f>
        <v>الجدول الأساسي</v>
      </c>
    </row>
    <row r="17">
      <c r="A17" s="1" t="s">
        <v>94</v>
      </c>
      <c r="B17" s="5" t="str">
        <f>"" &amp; "■■ " &amp; 'الجدول'!B1 &amp; " ■■" &amp; CHAR(10) &amp; "• " &amp; 'الجدول'!B95 &amp; CHAR(10) &amp; "• " &amp; 'الجدول'!B96 &amp; CHAR(10) &amp; "• " &amp; 'الجدول'!B97 &amp; CHAR(10) &amp; "• " &amp; 'الجدول'!B98 &amp; CHAR(10) &amp; "• " &amp; 'الجدول'!B99 &amp; CHAR(10) &amp; "• " &amp; 'الجدول'!B100 &amp; CHAR(10) &amp; "• " &amp; 'الجدول'!B101 &amp; CHAR(10) &amp; "• " &amp; 'الجدول'!B102 &amp; CHAR(10) &amp; "• " &amp; 'الجدول'!B103 &amp; CHAR(10) &amp; "• " &amp; 'الجدول'!B104 &amp; CHAR(10) &amp; CHAR(10) &amp; "■■ " &amp; 'الجدول'!C1 &amp; " ■■" &amp; CHAR(10) &amp; "• " &amp; 'الجدول'!C95 &amp; CHAR(10) &amp; "• " &amp; 'الجدول'!C96 &amp; CHAR(10) &amp; "• " &amp; 'الجدول'!C97 &amp; CHAR(10) &amp; "• " &amp; 'الجدول'!C98 &amp; CHAR(10) &amp; "• " &amp; 'الجدول'!C99 &amp; CHAR(10) &amp; "• " &amp; 'الجدول'!C100 &amp; CHAR(10) &amp; "• " &amp; 'الجدول'!C101 &amp; CHAR(10) &amp; "• " &amp; 'الجدول'!C102 &amp; CHAR(10) &amp; "• " &amp; 'الجدول'!C103 &amp; CHAR(10) &amp; "• " &amp; 'الجدول'!C104 &amp; CHAR(10) &amp; CHAR(10) &amp; "■■ " &amp; 'الجدول'!D1 &amp; " ■■" &amp; CHAR(10) &amp; "• " &amp; 'الجدول'!D95 &amp; CHAR(10) &amp; "• " &amp; 'الجدول'!D96 &amp; CHAR(10) &amp; "• " &amp; 'الجدول'!D97 &amp; CHAR(10) &amp; "• " &amp; 'الجدول'!D98 &amp; CHAR(10) &amp; "• " &amp; 'الجدول'!D99 &amp; CHAR(10) &amp; "• " &amp; 'الجدول'!D100 &amp; CHAR(10) &amp; "• " &amp; 'الجدول'!D101 &amp; CHAR(10) &amp; "• " &amp; 'الجدول'!D102 &amp; CHAR(10) &amp; "• " &amp; 'الجدول'!D103 &amp; CHAR(10) &amp; "• " &amp; 'الجدول'!D104 &amp; CHAR(10) &amp; CHAR(10) &amp; "■■ " &amp; 'الجدول'!E1 &amp; " ■■" &amp; CHAR(10) &amp; "• " &amp; 'الجدول'!E95 &amp; CHAR(10) &amp; "• " &amp; 'الجدول'!E96 &amp; CHAR(10) &amp; "• " &amp; 'الجدول'!E97 &amp; CHAR(10) &amp; "• " &amp; 'الجدول'!E98 &amp; CHAR(10) &amp; "• " &amp; 'الجدول'!E99 &amp; CHAR(10) &amp; "• " &amp; 'الجدول'!E100 &amp; CHAR(10) &amp; "• " &amp; 'الجدول'!E101 &amp; CHAR(10) &amp; "• " &amp; 'الجدول'!E102 &amp; CHAR(10) &amp; "• " &amp; 'الجدول'!E103 &amp; CHAR(10) &amp; "• " &amp; 'الجدول'!E104 &amp; CHAR(10) &amp; CHAR(10) &amp; "■■ " &amp; 'الجدول'!F1 &amp; " ■■" &amp; CHAR(10) &amp; "• " &amp; 'الجدول'!F95 &amp; CHAR(10) &amp; "• " &amp; 'الجدول'!F96 &amp; CHAR(10) &amp; "• " &amp; 'الجدول'!F97 &amp; CHAR(10) &amp; "• " &amp; 'الجدول'!F98 &amp; CHAR(10) &amp; "• " &amp; 'الجدول'!F99 &amp; CHAR(10) &amp; "• " &amp; 'الجدول'!F100 &amp; CHAR(10) &amp; "• " &amp; 'الجدول'!F101 &amp; CHAR(10) &amp; "• " &amp; 'الجدول'!F102 &amp; CHAR(10) &amp; "• " &amp; 'الجدول'!F103 &amp; CHAR(10) &amp; "• " &amp; 'الجدول'!F104 &amp; CHAR(10) &amp; CHAR(10) &amp; "■■ " &amp; 'الجدول'!G1 &amp; " ■■" &amp; CHAR(10) &amp; "• " &amp; 'الجدول'!G95 &amp; CHAR(10) &amp; "• " &amp; 'الجدول'!G96 &amp; CHAR(10) &amp; "• " &amp; 'الجدول'!G97 &amp; CHAR(10) &amp; "• " &amp; 'الجدول'!G98 &amp; CHAR(10) &amp; "• " &amp; 'الجدول'!G99 &amp; CHAR(10) &amp; "• " &amp; 'الجدول'!G100 &amp; CHAR(10) &amp; "• " &amp; 'الجدول'!G101 &amp; CHAR(10) &amp; "• " &amp; 'الجدول'!G102 &amp; CHAR(10) &amp; "• " &amp; 'الجدول'!G103 &amp; CHAR(10) &amp; "• " &amp; 'الجدول'!G104 &amp; CHAR(10) &amp; CHAR(10) &amp; "■■ " &amp; 'الجدول'!H1 &amp; " ■■" &amp; CHAR(10) &amp; "• " &amp; 'الجدول'!H95 &amp; CHAR(10) &amp; "• " &amp; 'الجدول'!H96 &amp; CHAR(10) &amp; "• " &amp; 'الجدول'!H97 &amp; CHAR(10) &amp; "• " &amp; 'الجدول'!H98 &amp; CHAR(10) &amp; "• " &amp; 'الجدول'!H99 &amp; CHAR(10) &amp; "• " &amp; 'الجدول'!H100 &amp; CHAR(10) &amp; "• " &amp; 'الجدول'!H101 &amp; CHAR(10) &amp; "• " &amp; 'الجدول'!H102 &amp; CHAR(10) &amp; "• " &amp; 'الجدول'!H103 &amp; CHAR(10) &amp; "• " &amp; 'الجدول'!H104 &amp; CHAR(10) &amp; CHAR(10) &amp; "■■ " &amp; 'الجدول'!I1 &amp; " ■■" &amp; CHAR(10) &amp; "• " &amp; 'الجدول'!I95 &amp; CHAR(10) &amp; "• " &amp; 'الجدول'!I96 &amp; CHAR(10) &amp; "• " &amp; 'الجدول'!I97 &amp; CHAR(10) &amp; "• " &amp; 'الجدول'!I98 &amp; CHAR(10) &amp; "• " &amp; 'الجدول'!I99 &amp; CHAR(10) &amp; "• " &amp; 'الجدول'!I100 &amp; CHAR(10) &amp; "• " &amp; 'الجدول'!I101 &amp; CHAR(10) &amp; "• " &amp; 'الجدول'!I102 &amp; CHAR(10) &amp; "• " &amp; 'الجدول'!I103 &amp; CHAR(10) &amp; "• " &amp; 'الجدول'!I104 &amp; CHAR(10) &amp; CHAR(10) &amp; "■■ " &amp; 'الجدول'!J1 &amp; " ■■" &amp; CHAR(10) &amp; "• " &amp; 'الجدول'!J95 &amp; CHAR(10) &amp; "• " &amp; 'الجدول'!J96 &amp; CHAR(10) &amp; "• " &amp; 'الجدول'!J97 &amp; CHAR(10) &amp; "• " &amp; 'الجدول'!J98 &amp; CHAR(10) &amp; "• " &amp; 'الجدول'!J99 &amp; CHAR(10) &amp; "• " &amp; 'الجدول'!J100 &amp; CHAR(10) &amp; "• " &amp; 'الجدول'!J101 &amp; CHAR(10) &amp; "• " &amp; 'الجدول'!J102 &amp; CHAR(10) &amp; "• " &amp; 'الجدول'!J103 &amp; CHAR(10) &amp; "• " &amp; 'الجدول'!J104 &amp; CHAR(10) &amp; CHAR(10) &amp; "■■ " &amp; 'الجدول'!K1 &amp; " ■■" &amp; CHAR(10) &amp; "• " &amp; 'الجدول'!K95 &amp; CHAR(10) &amp; "• " &amp; 'الجدول'!K96 &amp; CHAR(10) &amp; "• " &amp; 'الجدول'!K97 &amp; CHAR(10) &amp; "• " &amp; 'الجدول'!K98 &amp; CHAR(10) &amp; "• " &amp; 'الجدول'!K99 &amp; CHAR(10) &amp; "• " &amp; 'الجدول'!K100 &amp; CHAR(10) &amp; "• " &amp; 'الجدول'!K101 &amp; CHAR(10) &amp; "• " &amp; 'الجدول'!K102 &amp; CHAR(10) &amp; "• " &amp; 'الجدول'!K103 &amp; CHAR(10) &amp; "• " &amp; 'الجدول'!K104 &amp; CHAR(10) &amp; CHAR(10) &amp; "■■ " &amp; 'الجدول'!L1 &amp; " ■■" &amp; CHAR(10) &amp; "• " &amp; 'الجدول'!L95 &amp; CHAR(10) &amp; "• " &amp; 'الجدول'!L96 &amp; CHAR(10) &amp; "• " &amp; 'الجدول'!L97 &amp; CHAR(10) &amp; "• " &amp; 'الجدول'!L98 &amp; CHAR(10) &amp; "• " &amp; 'الجدول'!L99 &amp; CHAR(10) &amp; "• " &amp; 'الجدول'!L100 &amp; CHAR(10) &amp; "• " &amp; 'الجدول'!L101 &amp; CHAR(10) &amp; "• " &amp; 'الجدول'!L102 &amp; CHAR(10) &amp; "• " &amp; 'الجدول'!L103 &amp; CHAR(10) &amp; "• " &amp; 'الجدول'!L104 &amp; CHAR(10) &amp; CHAR(10) &amp; "■■ " &amp; 'الجدول'!M1 &amp; " ■■" &amp; CHAR(10) &amp; "• " &amp; 'الجدول'!M95 &amp; CHAR(10) &amp; "• " &amp; 'الجدول'!M96 &amp; CHAR(10) &amp; "• " &amp; 'الجدول'!M97 &amp; CHAR(10) &amp; "• " &amp; 'الجدول'!M98 &amp; CHAR(10) &amp; "• " &amp; 'الجدول'!M99 &amp; CHAR(10) &amp; "• " &amp; 'الجدول'!M100 &amp; CHAR(10) &amp; "• " &amp; 'الجدول'!M101 &amp; CHAR(10) &amp; "• " &amp; 'الجدول'!M102 &amp; CHAR(10) &amp; "• " &amp; 'الجدول'!M103 &amp; CHAR(10) &amp; "• " &amp; 'الجدول'!M104 &amp; CHAR(10) &amp; CHAR(10) &amp; "■■ " &amp; 'الجدول'!N1 &amp; " ■■" &amp; CHAR(10) &amp; "• " &amp; 'الجدول'!N95 &amp; CHAR(10) &amp; "• " &amp; 'الجدول'!N96 &amp; CHAR(10) &amp; "• " &amp; 'الجدول'!N97 &amp; CHAR(10) &amp; "• " &amp; 'الجدول'!N98 &amp; CHAR(10) &amp; "• " &amp; 'الجدول'!N99 &amp; CHAR(10) &amp; "• " &amp; 'الجدول'!N100 &amp; CHAR(10) &amp; "• " &amp; 'الجدول'!N101 &amp; CHAR(10) &amp; "• " &amp; 'الجدول'!N102 &amp; CHAR(10) &amp; "• " &amp; 'الجدول'!N103 &amp; CHAR(10) &amp; "• " &amp; 'الجدول'!N104 &amp; CHAR(10) &amp; CHAR(10)</f>
        <v>■■ ER ADMISSION-NIGHT-🚨🌙 ■■
• عمرو عبدالغفار حمزة
(01014246636)
• ----------
• ----------
• ----------
• ----------
• ----------
• ----------
• ----------
• ----------
• ----------
■■ ER ADMISSIONS -DAY-🚨☀️ ■■
• منة السيد عبد الباقي
(01274588193)
• ----------
• ----------
• ----------
• ----------
• ----------
• ----------
• ----------
• ----------
• ----------
■■ ER GENERAL-DAY-🚨☀️ ■■
• Youssef elsemary
(01126286820)
• بلال جودة
(01066199644)
• محمد خالد محمد
(01008204601)
• عمر حسن محمد حسن حجازي
(01019701020)
• يارا إبراهيم سيد
(01021880370)
• بلال أحمد
(01066883767)
• رنا اكرم احمد
(01122182132)
• روان ياسر سليم
(01005005160)
• عبدالمسيح مكرم
(01203267885)
• احمدنوید قیومی
(01104573242)
■■ ER GENERAL-NIGHT-🚨🌙 ■■
• مي طارق نهاد
(01287477488)
• شدو محمد شلتوت
(1550336384)
• شهاب احمد حلمي
(01055979002)
• تقى عماد حسني
(01119716276)
• محمد عمرو محمد عبدالباقي
(01151653320)
• Mostafa Ismail
(01022400525)
• كارين باسم صومائيل
(01274209975)
• محمد محمود ابراهيم
(01112057358)
• Marwan Ayman
(01149894940)
• ----------
■■ ER PT-DAY-🚨☀️ ■■
• مها حسين السيد
(01012349071)
• منار عواد عبدالعال عواد
(01001915861)
• مريم السيد أحمد خيرالله
(01099882992)
• هديل نادي محند
(01033032220)
• حنان النبوى محمد
(01067888751)
• مينا رومانى عبده
(01212866642)
• يوسف عاطف رزق الله
(01148183647)
• منار احمد سعيد
(01092708033)
• رؤى أحمد عبدالحميد البليهي
(01021284862)
• ----------
■■ ER PT-NIGHT-🚨🌙 ■■
• أعناب طارق عوض
(01146334179)
• هديل هشام منصور الوشاحي
(01227221344)
• Ziad said mohamed
(01028577876)
• رنيم حاتم رفيق بسيسو
(01144758373)
• Sara Refaat
(01220039613)
• كارين روماني راشد
(01102663062)
• ريهام سعد عبدالرحمن
(01124867574)
• زينة أشرف حسين
(01067196820)
• أحمد رجب محمد
(01273127265)
• ----------
■■ ER TRIAGE-DAY-🚨☀️ ■■
• مصطفى محمد علي محمد بدر
(01150245681)
• ----------
• ----------
• ----------
• ----------
• ----------
• ----------
• ----------
• ----------
• ----------
■■ ER TRIAGE-NIGHT-🚨🌙 ■■
• عمر محمد سيد
(01000688544)
• ----------
• ----------
• ----------
• ----------
• ----------
• ----------
• ----------
• ----------
• ----------
■■ ER WARD-DAY-🚨☀️ ■■
• أحمد زيدان
(01110524147)
• مي خالد ابوزيد
(01023578224)
• محمود عبد المحسن إبراهيم
(01062086612)
• شيماء رمضان سعد
(01021468731)
• مصطفى عبد الراضى صديق
(01226696153)
• سلمى أبوالعلا
(01124166114)
• ----------
• ----------
• ----------
• ----------
■■ ER WARD-NIGHT-🚨🌙 ■■
• عبدالله احمد
(01020242571)
• سندس أحمد سيد
(01156131096)
• Alaa mahmoud El haddad
(01033882560)
• نورهان محمد
(0112 826 8287)
• مصطفى عبد الراضى صديق
(01226696153)
• يوسف طه السيد
(01207620695)
• ----------
• ----------
• ----------
• ----------
■■ 🗡️LISTA ■■
• ----------
• ----------
• ----------
• ----------
• ----------
• ----------
• ----------
• ----------
• ----------
• ----------
■■ WARD-DAY-☀️ ■■
• ----------
• ----------
• ----------
• ----------
• ----------
• ----------
• ----------
• ----------
• ----------
• ----------
■■ WARD-NIGHT-🌙 ■■
• ----------
• ----------
• ----------
• ----------
• ----------
• ----------
• ----------
• ----------
• ----------
• ----------
</v>
      </c>
      <c r="C17" s="3" t="str">
        <f>HYPERLINK("#الجدول!A" &amp; 94, "الجدول الأساسي")</f>
        <v>الجدول الأساسي</v>
      </c>
    </row>
    <row r="18">
      <c r="A18" s="1" t="s">
        <v>95</v>
      </c>
      <c r="B18" s="5" t="str">
        <f>"" &amp; "■■ " &amp; 'الجدول'!B1 &amp; " ■■" &amp; CHAR(10) &amp; "• " &amp; 'الجدول'!B105 &amp; CHAR(10) &amp; "• " &amp; 'الجدول'!B106 &amp; CHAR(10) &amp; "• " &amp; 'الجدول'!B107 &amp; CHAR(10) &amp; "• " &amp; 'الجدول'!B108 &amp; CHAR(10) &amp; "• " &amp; 'الجدول'!B109 &amp; CHAR(10) &amp; "• " &amp; 'الجدول'!B110 &amp; CHAR(10) &amp; "• " &amp; 'الجدول'!B111 &amp; CHAR(10) &amp; "• " &amp; 'الجدول'!B112 &amp; CHAR(10) &amp; CHAR(10) &amp; "■■ " &amp; 'الجدول'!C1 &amp; " ■■" &amp; CHAR(10) &amp; "• " &amp; 'الجدول'!C105 &amp; CHAR(10) &amp; "• " &amp; 'الجدول'!C106 &amp; CHAR(10) &amp; "• " &amp; 'الجدول'!C107 &amp; CHAR(10) &amp; "• " &amp; 'الجدول'!C108 &amp; CHAR(10) &amp; "• " &amp; 'الجدول'!C109 &amp; CHAR(10) &amp; "• " &amp; 'الجدول'!C110 &amp; CHAR(10) &amp; "• " &amp; 'الجدول'!C111 &amp; CHAR(10) &amp; "• " &amp; 'الجدول'!C112 &amp; CHAR(10) &amp; CHAR(10) &amp; "■■ " &amp; 'الجدول'!D1 &amp; " ■■" &amp; CHAR(10) &amp; "• " &amp; 'الجدول'!D105 &amp; CHAR(10) &amp; "• " &amp; 'الجدول'!D106 &amp; CHAR(10) &amp; "• " &amp; 'الجدول'!D107 &amp; CHAR(10) &amp; "• " &amp; 'الجدول'!D108 &amp; CHAR(10) &amp; "• " &amp; 'الجدول'!D109 &amp; CHAR(10) &amp; "• " &amp; 'الجدول'!D110 &amp; CHAR(10) &amp; "• " &amp; 'الجدول'!D111 &amp; CHAR(10) &amp; "• " &amp; 'الجدول'!D112 &amp; CHAR(10) &amp; CHAR(10) &amp; "■■ " &amp; 'الجدول'!E1 &amp; " ■■" &amp; CHAR(10) &amp; "• " &amp; 'الجدول'!E105 &amp; CHAR(10) &amp; "• " &amp; 'الجدول'!E106 &amp; CHAR(10) &amp; "• " &amp; 'الجدول'!E107 &amp; CHAR(10) &amp; "• " &amp; 'الجدول'!E108 &amp; CHAR(10) &amp; "• " &amp; 'الجدول'!E109 &amp; CHAR(10) &amp; "• " &amp; 'الجدول'!E110 &amp; CHAR(10) &amp; "• " &amp; 'الجدول'!E111 &amp; CHAR(10) &amp; "• " &amp; 'الجدول'!E112 &amp; CHAR(10) &amp; CHAR(10) &amp; "■■ " &amp; 'الجدول'!F1 &amp; " ■■" &amp; CHAR(10) &amp; "• " &amp; 'الجدول'!F105 &amp; CHAR(10) &amp; "• " &amp; 'الجدول'!F106 &amp; CHAR(10) &amp; "• " &amp; 'الجدول'!F107 &amp; CHAR(10) &amp; "• " &amp; 'الجدول'!F108 &amp; CHAR(10) &amp; "• " &amp; 'الجدول'!F109 &amp; CHAR(10) &amp; "• " &amp; 'الجدول'!F110 &amp; CHAR(10) &amp; "• " &amp; 'الجدول'!F111 &amp; CHAR(10) &amp; "• " &amp; 'الجدول'!F112 &amp; CHAR(10) &amp; CHAR(10) &amp; "■■ " &amp; 'الجدول'!G1 &amp; " ■■" &amp; CHAR(10) &amp; "• " &amp; 'الجدول'!G105 &amp; CHAR(10) &amp; "• " &amp; 'الجدول'!G106 &amp; CHAR(10) &amp; "• " &amp; 'الجدول'!G107 &amp; CHAR(10) &amp; "• " &amp; 'الجدول'!G108 &amp; CHAR(10) &amp; "• " &amp; 'الجدول'!G109 &amp; CHAR(10) &amp; "• " &amp; 'الجدول'!G110 &amp; CHAR(10) &amp; "• " &amp; 'الجدول'!G111 &amp; CHAR(10) &amp; "• " &amp; 'الجدول'!G112 &amp; CHAR(10) &amp; CHAR(10) &amp; "■■ " &amp; 'الجدول'!H1 &amp; " ■■" &amp; CHAR(10) &amp; "• " &amp; 'الجدول'!H105 &amp; CHAR(10) &amp; "• " &amp; 'الجدول'!H106 &amp; CHAR(10) &amp; "• " &amp; 'الجدول'!H107 &amp; CHAR(10) &amp; "• " &amp; 'الجدول'!H108 &amp; CHAR(10) &amp; "• " &amp; 'الجدول'!H109 &amp; CHAR(10) &amp; "• " &amp; 'الجدول'!H110 &amp; CHAR(10) &amp; "• " &amp; 'الجدول'!H111 &amp; CHAR(10) &amp; "• " &amp; 'الجدول'!H112 &amp; CHAR(10) &amp; CHAR(10) &amp; "■■ " &amp; 'الجدول'!I1 &amp; " ■■" &amp; CHAR(10) &amp; "• " &amp; 'الجدول'!I105 &amp; CHAR(10) &amp; "• " &amp; 'الجدول'!I106 &amp; CHAR(10) &amp; "• " &amp; 'الجدول'!I107 &amp; CHAR(10) &amp; "• " &amp; 'الجدول'!I108 &amp; CHAR(10) &amp; "• " &amp; 'الجدول'!I109 &amp; CHAR(10) &amp; "• " &amp; 'الجدول'!I110 &amp; CHAR(10) &amp; "• " &amp; 'الجدول'!I111 &amp; CHAR(10) &amp; "• " &amp; 'الجدول'!I112 &amp; CHAR(10) &amp; CHAR(10) &amp; "■■ " &amp; 'الجدول'!J1 &amp; " ■■" &amp; CHAR(10) &amp; "• " &amp; 'الجدول'!J105 &amp; CHAR(10) &amp; "• " &amp; 'الجدول'!J106 &amp; CHAR(10) &amp; "• " &amp; 'الجدول'!J107 &amp; CHAR(10) &amp; "• " &amp; 'الجدول'!J108 &amp; CHAR(10) &amp; "• " &amp; 'الجدول'!J109 &amp; CHAR(10) &amp; "• " &amp; 'الجدول'!J110 &amp; CHAR(10) &amp; "• " &amp; 'الجدول'!J111 &amp; CHAR(10) &amp; "• " &amp; 'الجدول'!J112 &amp; CHAR(10) &amp; CHAR(10) &amp; "■■ " &amp; 'الجدول'!K1 &amp; " ■■" &amp; CHAR(10) &amp; "• " &amp; 'الجدول'!K105 &amp; CHAR(10) &amp; "• " &amp; 'الجدول'!K106 &amp; CHAR(10) &amp; "• " &amp; 'الجدول'!K107 &amp; CHAR(10) &amp; "• " &amp; 'الجدول'!K108 &amp; CHAR(10) &amp; "• " &amp; 'الجدول'!K109 &amp; CHAR(10) &amp; "• " &amp; 'الجدول'!K110 &amp; CHAR(10) &amp; "• " &amp; 'الجدول'!K111 &amp; CHAR(10) &amp; "• " &amp; 'الجدول'!K112 &amp; CHAR(10) &amp; CHAR(10) &amp; "■■ " &amp; 'الجدول'!L1 &amp; " ■■" &amp; CHAR(10) &amp; "• " &amp; 'الجدول'!L105 &amp; CHAR(10) &amp; "• " &amp; 'الجدول'!L106 &amp; CHAR(10) &amp; "• " &amp; 'الجدول'!L107 &amp; CHAR(10) &amp; "• " &amp; 'الجدول'!L108 &amp; CHAR(10) &amp; "• " &amp; 'الجدول'!L109 &amp; CHAR(10) &amp; "• " &amp; 'الجدول'!L110 &amp; CHAR(10) &amp; "• " &amp; 'الجدول'!L111 &amp; CHAR(10) &amp; "• " &amp; 'الجدول'!L112 &amp; CHAR(10) &amp; CHAR(10) &amp; "■■ " &amp; 'الجدول'!M1 &amp; " ■■" &amp; CHAR(10) &amp; "• " &amp; 'الجدول'!M105 &amp; CHAR(10) &amp; "• " &amp; 'الجدول'!M106 &amp; CHAR(10) &amp; "• " &amp; 'الجدول'!M107 &amp; CHAR(10) &amp; "• " &amp; 'الجدول'!M108 &amp; CHAR(10) &amp; "• " &amp; 'الجدول'!M109 &amp; CHAR(10) &amp; "• " &amp; 'الجدول'!M110 &amp; CHAR(10) &amp; "• " &amp; 'الجدول'!M111 &amp; CHAR(10) &amp; "• " &amp; 'الجدول'!M112 &amp; CHAR(10) &amp; CHAR(10) &amp; "■■ " &amp; 'الجدول'!N1 &amp; " ■■" &amp; CHAR(10) &amp; "• " &amp; 'الجدول'!N105 &amp; CHAR(10) &amp; "• " &amp; 'الجدول'!N106 &amp; CHAR(10) &amp; "• " &amp; 'الجدول'!N107 &amp; CHAR(10) &amp; "• " &amp; 'الجدول'!N108 &amp; CHAR(10) &amp; "• " &amp; 'الجدول'!N109 &amp; CHAR(10) &amp; "• " &amp; 'الجدول'!N110 &amp; CHAR(10) &amp; "• " &amp; 'الجدول'!N111 &amp; CHAR(10) &amp; "• " &amp; 'الجدول'!N112 &amp; CHAR(10) &amp; CHAR(10)</f>
        <v>■■ ER ADMISSION-NIGHT-🚨🌙 ■■
• ----------
• ----------
• ----------
• ----------
• ----------
• ----------
• ----------
• ----------
■■ ER ADMISSIONS -DAY-🚨☀️ ■■
• ----------
• ----------
• ----------
• ----------
• ----------
• ----------
• ----------
• ----------
■■ ER GENERAL-DAY-🚨☀️ ■■
• ----------
• ----------
• ----------
• ----------
• ----------
• ----------
• ----------
• ----------
■■ ER GENERAL-NIGHT-🚨🌙 ■■
• ----------
• ----------
• ----------
• ----------
• ----------
• ----------
• ----------
• ----------
■■ ER PT-DAY-🚨☀️ ■■
• ----------
• ----------
• ----------
• ----------
• ----------
• ----------
• ----------
• ----------
■■ ER PT-NIGHT-🚨🌙 ■■
• ----------
• ----------
• ----------
• ----------
• ----------
• ----------
• ----------
• ----------
■■ ER TRIAGE-DAY-🚨☀️ ■■
• ----------
• ----------
• ----------
• ----------
• ----------
• ----------
• ----------
• ----------
■■ ER TRIAGE-NIGHT-🚨🌙 ■■
• ----------
• ----------
• ----------
• ----------
• ----------
• ----------
• ----------
• ----------
■■ ER WARD-DAY-🚨☀️ ■■
• ----------
• ----------
• ----------
• ----------
• ----------
• ----------
• ----------
• ----------
■■ ER WARD-NIGHT-🚨🌙 ■■
• ----------
• ----------
• ----------
• ----------
• ----------
• ----------
• ----------
• ----------
■■ 🗡️LISTA ■■
• ----------
• ----------
• ----------
• ----------
• ----------
• ----------
• ----------
• ----------
■■ WARD-DAY-☀️ ■■
• احمد حسين أحمد
(01001877491)
• احمد حسام الدين صلاح
(01065567736)
• أحمد رجب محمد
(01273127265)
• حنان النبوى محمد
(01067888751)
• منة السيد عبد الباقي
(01274588193)
• عمرو وائل سرور
(01023140340)
• مصطفى محمد علي محمد بدر
(01150245681)
• شيماء رمضان سعد
(01021468731)
■■ WARD-NIGHT-🌙 ■■
• أحمد زيدان
(01110524147)
• يوسف عاطف رزق الله
(01148183647)
• احمد ناصر
(01553479200)
• نورهان محمد
(0112 826 8287)
• مريم السيد أحمد خيرالله
(01099882992)
• ----------
• ----------
• ----------
</v>
      </c>
      <c r="C18" s="3" t="str">
        <f>HYPERLINK("#الجدول!A" &amp; 104, "الجدول الأساسي")</f>
        <v>الجدول الأساسي</v>
      </c>
    </row>
    <row r="19">
      <c r="A19" s="1" t="s">
        <v>96</v>
      </c>
      <c r="B19" s="5" t="str">
        <f>"" &amp; "■■ " &amp; 'الجدول'!B1 &amp; " ■■" &amp; CHAR(10) &amp; "• " &amp; 'الجدول'!B113 &amp; CHAR(10) &amp; "• " &amp; 'الجدول'!B114 &amp; CHAR(10) &amp; "• " &amp; 'الجدول'!B115 &amp; CHAR(10) &amp; "• " &amp; 'الجدول'!B116 &amp; CHAR(10) &amp; "• " &amp; 'الجدول'!B117 &amp; CHAR(10) &amp; "• " &amp; 'الجدول'!B118 &amp; CHAR(10) &amp; CHAR(10) &amp; "■■ " &amp; 'الجدول'!C1 &amp; " ■■" &amp; CHAR(10) &amp; "• " &amp; 'الجدول'!C113 &amp; CHAR(10) &amp; "• " &amp; 'الجدول'!C114 &amp; CHAR(10) &amp; "• " &amp; 'الجدول'!C115 &amp; CHAR(10) &amp; "• " &amp; 'الجدول'!C116 &amp; CHAR(10) &amp; "• " &amp; 'الجدول'!C117 &amp; CHAR(10) &amp; "• " &amp; 'الجدول'!C118 &amp; CHAR(10) &amp; CHAR(10) &amp; "■■ " &amp; 'الجدول'!D1 &amp; " ■■" &amp; CHAR(10) &amp; "• " &amp; 'الجدول'!D113 &amp; CHAR(10) &amp; "• " &amp; 'الجدول'!D114 &amp; CHAR(10) &amp; "• " &amp; 'الجدول'!D115 &amp; CHAR(10) &amp; "• " &amp; 'الجدول'!D116 &amp; CHAR(10) &amp; "• " &amp; 'الجدول'!D117 &amp; CHAR(10) &amp; "• " &amp; 'الجدول'!D118 &amp; CHAR(10) &amp; CHAR(10) &amp; "■■ " &amp; 'الجدول'!E1 &amp; " ■■" &amp; CHAR(10) &amp; "• " &amp; 'الجدول'!E113 &amp; CHAR(10) &amp; "• " &amp; 'الجدول'!E114 &amp; CHAR(10) &amp; "• " &amp; 'الجدول'!E115 &amp; CHAR(10) &amp; "• " &amp; 'الجدول'!E116 &amp; CHAR(10) &amp; "• " &amp; 'الجدول'!E117 &amp; CHAR(10) &amp; "• " &amp; 'الجدول'!E118 &amp; CHAR(10) &amp; CHAR(10) &amp; "■■ " &amp; 'الجدول'!F1 &amp; " ■■" &amp; CHAR(10) &amp; "• " &amp; 'الجدول'!F113 &amp; CHAR(10) &amp; "• " &amp; 'الجدول'!F114 &amp; CHAR(10) &amp; "• " &amp; 'الجدول'!F115 &amp; CHAR(10) &amp; "• " &amp; 'الجدول'!F116 &amp; CHAR(10) &amp; "• " &amp; 'الجدول'!F117 &amp; CHAR(10) &amp; "• " &amp; 'الجدول'!F118 &amp; CHAR(10) &amp; CHAR(10) &amp; "■■ " &amp; 'الجدول'!G1 &amp; " ■■" &amp; CHAR(10) &amp; "• " &amp; 'الجدول'!G113 &amp; CHAR(10) &amp; "• " &amp; 'الجدول'!G114 &amp; CHAR(10) &amp; "• " &amp; 'الجدول'!G115 &amp; CHAR(10) &amp; "• " &amp; 'الجدول'!G116 &amp; CHAR(10) &amp; "• " &amp; 'الجدول'!G117 &amp; CHAR(10) &amp; "• " &amp; 'الجدول'!G118 &amp; CHAR(10) &amp; CHAR(10) &amp; "■■ " &amp; 'الجدول'!H1 &amp; " ■■" &amp; CHAR(10) &amp; "• " &amp; 'الجدول'!H113 &amp; CHAR(10) &amp; "• " &amp; 'الجدول'!H114 &amp; CHAR(10) &amp; "• " &amp; 'الجدول'!H115 &amp; CHAR(10) &amp; "• " &amp; 'الجدول'!H116 &amp; CHAR(10) &amp; "• " &amp; 'الجدول'!H117 &amp; CHAR(10) &amp; "• " &amp; 'الجدول'!H118 &amp; CHAR(10) &amp; CHAR(10) &amp; "■■ " &amp; 'الجدول'!I1 &amp; " ■■" &amp; CHAR(10) &amp; "• " &amp; 'الجدول'!I113 &amp; CHAR(10) &amp; "• " &amp; 'الجدول'!I114 &amp; CHAR(10) &amp; "• " &amp; 'الجدول'!I115 &amp; CHAR(10) &amp; "• " &amp; 'الجدول'!I116 &amp; CHAR(10) &amp; "• " &amp; 'الجدول'!I117 &amp; CHAR(10) &amp; "• " &amp; 'الجدول'!I118 &amp; CHAR(10) &amp; CHAR(10) &amp; "■■ " &amp; 'الجدول'!J1 &amp; " ■■" &amp; CHAR(10) &amp; "• " &amp; 'الجدول'!J113 &amp; CHAR(10) &amp; "• " &amp; 'الجدول'!J114 &amp; CHAR(10) &amp; "• " &amp; 'الجدول'!J115 &amp; CHAR(10) &amp; "• " &amp; 'الجدول'!J116 &amp; CHAR(10) &amp; "• " &amp; 'الجدول'!J117 &amp; CHAR(10) &amp; "• " &amp; 'الجدول'!J118 &amp; CHAR(10) &amp; CHAR(10) &amp; "■■ " &amp; 'الجدول'!K1 &amp; " ■■" &amp; CHAR(10) &amp; "• " &amp; 'الجدول'!K113 &amp; CHAR(10) &amp; "• " &amp; 'الجدول'!K114 &amp; CHAR(10) &amp; "• " &amp; 'الجدول'!K115 &amp; CHAR(10) &amp; "• " &amp; 'الجدول'!K116 &amp; CHAR(10) &amp; "• " &amp; 'الجدول'!K117 &amp; CHAR(10) &amp; "• " &amp; 'الجدول'!K118 &amp; CHAR(10) &amp; CHAR(10) &amp; "■■ " &amp; 'الجدول'!L1 &amp; " ■■" &amp; CHAR(10) &amp; "• " &amp; 'الجدول'!L113 &amp; CHAR(10) &amp; "• " &amp; 'الجدول'!L114 &amp; CHAR(10) &amp; "• " &amp; 'الجدول'!L115 &amp; CHAR(10) &amp; "• " &amp; 'الجدول'!L116 &amp; CHAR(10) &amp; "• " &amp; 'الجدول'!L117 &amp; CHAR(10) &amp; "• " &amp; 'الجدول'!L118 &amp; CHAR(10) &amp; CHAR(10) &amp; "■■ " &amp; 'الجدول'!M1 &amp; " ■■" &amp; CHAR(10) &amp; "• " &amp; 'الجدول'!M113 &amp; CHAR(10) &amp; "• " &amp; 'الجدول'!M114 &amp; CHAR(10) &amp; "• " &amp; 'الجدول'!M115 &amp; CHAR(10) &amp; "• " &amp; 'الجدول'!M116 &amp; CHAR(10) &amp; "• " &amp; 'الجدول'!M117 &amp; CHAR(10) &amp; "• " &amp; 'الجدول'!M118 &amp; CHAR(10) &amp; CHAR(10) &amp; "■■ " &amp; 'الجدول'!N1 &amp; " ■■" &amp; CHAR(10) &amp; "• " &amp; 'الجدول'!N113 &amp; CHAR(10) &amp; "• " &amp; 'الجدول'!N114 &amp; CHAR(10) &amp; "• " &amp; 'الجدول'!N115 &amp; CHAR(10) &amp; "• " &amp; 'الجدول'!N116 &amp; CHAR(10) &amp; "• " &amp; 'الجدول'!N117 &amp; CHAR(10) &amp; "• " &amp; 'الجدول'!N118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بلال جودة
(01066199644)
• Sara Refaat
(01220039613)
• عمرو عبدالغفار حمزة
(01014246636)
• ----------
• ----------
• ----------
■■ WARD-DAY-☀️ ■■
• كارين روماني راشد
(01102663062)
• Youssef elsemary
(01126286820)
• محمود عبد المحسن إبراهيم
(01062086612)
• مينا رومانى عبده
(01212866642)
• يارا إبراهيم سيد
(01021880370)
• محمد خالد محمد
(01008204601)
■■ WARD-NIGHT-🌙 ■■
• مي طارق نهاد
(01287477488)
• كارين باسم صومائيل
(01274209975)
• هديل هشام منصور الوشاحي
(01227221344)
• شيماء رمضان سعد
(01021468731)
• ----------
• ----------
</v>
      </c>
      <c r="C19" s="3" t="str">
        <f>HYPERLINK("#الجدول!A" &amp; 112, "الجدول الأساسي")</f>
        <v>الجدول الأساسي</v>
      </c>
    </row>
    <row r="20">
      <c r="A20" s="1" t="s">
        <v>97</v>
      </c>
      <c r="B20" s="5" t="str">
        <f>"" &amp; "■■ " &amp; 'الجدول'!B1 &amp; " ■■" &amp; CHAR(10) &amp; "• " &amp; 'الجدول'!B119 &amp; CHAR(10) &amp; "• " &amp; 'الجدول'!B120 &amp; CHAR(10) &amp; "• " &amp; 'الجدول'!B121 &amp; CHAR(10) &amp; "• " &amp; 'الجدول'!B122 &amp; CHAR(10) &amp; "• " &amp; 'الجدول'!B123 &amp; CHAR(10) &amp; "• " &amp; 'الجدول'!B124 &amp; CHAR(10) &amp; CHAR(10) &amp; "■■ " &amp; 'الجدول'!C1 &amp; " ■■" &amp; CHAR(10) &amp; "• " &amp; 'الجدول'!C119 &amp; CHAR(10) &amp; "• " &amp; 'الجدول'!C120 &amp; CHAR(10) &amp; "• " &amp; 'الجدول'!C121 &amp; CHAR(10) &amp; "• " &amp; 'الجدول'!C122 &amp; CHAR(10) &amp; "• " &amp; 'الجدول'!C123 &amp; CHAR(10) &amp; "• " &amp; 'الجدول'!C124 &amp; CHAR(10) &amp; CHAR(10) &amp; "■■ " &amp; 'الجدول'!D1 &amp; " ■■" &amp; CHAR(10) &amp; "• " &amp; 'الجدول'!D119 &amp; CHAR(10) &amp; "• " &amp; 'الجدول'!D120 &amp; CHAR(10) &amp; "• " &amp; 'الجدول'!D121 &amp; CHAR(10) &amp; "• " &amp; 'الجدول'!D122 &amp; CHAR(10) &amp; "• " &amp; 'الجدول'!D123 &amp; CHAR(10) &amp; "• " &amp; 'الجدول'!D124 &amp; CHAR(10) &amp; CHAR(10) &amp; "■■ " &amp; 'الجدول'!E1 &amp; " ■■" &amp; CHAR(10) &amp; "• " &amp; 'الجدول'!E119 &amp; CHAR(10) &amp; "• " &amp; 'الجدول'!E120 &amp; CHAR(10) &amp; "• " &amp; 'الجدول'!E121 &amp; CHAR(10) &amp; "• " &amp; 'الجدول'!E122 &amp; CHAR(10) &amp; "• " &amp; 'الجدول'!E123 &amp; CHAR(10) &amp; "• " &amp; 'الجدول'!E124 &amp; CHAR(10) &amp; CHAR(10) &amp; "■■ " &amp; 'الجدول'!F1 &amp; " ■■" &amp; CHAR(10) &amp; "• " &amp; 'الجدول'!F119 &amp; CHAR(10) &amp; "• " &amp; 'الجدول'!F120 &amp; CHAR(10) &amp; "• " &amp; 'الجدول'!F121 &amp; CHAR(10) &amp; "• " &amp; 'الجدول'!F122 &amp; CHAR(10) &amp; "• " &amp; 'الجدول'!F123 &amp; CHAR(10) &amp; "• " &amp; 'الجدول'!F124 &amp; CHAR(10) &amp; CHAR(10) &amp; "■■ " &amp; 'الجدول'!G1 &amp; " ■■" &amp; CHAR(10) &amp; "• " &amp; 'الجدول'!G119 &amp; CHAR(10) &amp; "• " &amp; 'الجدول'!G120 &amp; CHAR(10) &amp; "• " &amp; 'الجدول'!G121 &amp; CHAR(10) &amp; "• " &amp; 'الجدول'!G122 &amp; CHAR(10) &amp; "• " &amp; 'الجدول'!G123 &amp; CHAR(10) &amp; "• " &amp; 'الجدول'!G124 &amp; CHAR(10) &amp; CHAR(10) &amp; "■■ " &amp; 'الجدول'!H1 &amp; " ■■" &amp; CHAR(10) &amp; "• " &amp; 'الجدول'!H119 &amp; CHAR(10) &amp; "• " &amp; 'الجدول'!H120 &amp; CHAR(10) &amp; "• " &amp; 'الجدول'!H121 &amp; CHAR(10) &amp; "• " &amp; 'الجدول'!H122 &amp; CHAR(10) &amp; "• " &amp; 'الجدول'!H123 &amp; CHAR(10) &amp; "• " &amp; 'الجدول'!H124 &amp; CHAR(10) &amp; CHAR(10) &amp; "■■ " &amp; 'الجدول'!I1 &amp; " ■■" &amp; CHAR(10) &amp; "• " &amp; 'الجدول'!I119 &amp; CHAR(10) &amp; "• " &amp; 'الجدول'!I120 &amp; CHAR(10) &amp; "• " &amp; 'الجدول'!I121 &amp; CHAR(10) &amp; "• " &amp; 'الجدول'!I122 &amp; CHAR(10) &amp; "• " &amp; 'الجدول'!I123 &amp; CHAR(10) &amp; "• " &amp; 'الجدول'!I124 &amp; CHAR(10) &amp; CHAR(10) &amp; "■■ " &amp; 'الجدول'!J1 &amp; " ■■" &amp; CHAR(10) &amp; "• " &amp; 'الجدول'!J119 &amp; CHAR(10) &amp; "• " &amp; 'الجدول'!J120 &amp; CHAR(10) &amp; "• " &amp; 'الجدول'!J121 &amp; CHAR(10) &amp; "• " &amp; 'الجدول'!J122 &amp; CHAR(10) &amp; "• " &amp; 'الجدول'!J123 &amp; CHAR(10) &amp; "• " &amp; 'الجدول'!J124 &amp; CHAR(10) &amp; CHAR(10) &amp; "■■ " &amp; 'الجدول'!K1 &amp; " ■■" &amp; CHAR(10) &amp; "• " &amp; 'الجدول'!K119 &amp; CHAR(10) &amp; "• " &amp; 'الجدول'!K120 &amp; CHAR(10) &amp; "• " &amp; 'الجدول'!K121 &amp; CHAR(10) &amp; "• " &amp; 'الجدول'!K122 &amp; CHAR(10) &amp; "• " &amp; 'الجدول'!K123 &amp; CHAR(10) &amp; "• " &amp; 'الجدول'!K124 &amp; CHAR(10) &amp; CHAR(10) &amp; "■■ " &amp; 'الجدول'!L1 &amp; " ■■" &amp; CHAR(10) &amp; "• " &amp; 'الجدول'!L119 &amp; CHAR(10) &amp; "• " &amp; 'الجدول'!L120 &amp; CHAR(10) &amp; "• " &amp; 'الجدول'!L121 &amp; CHAR(10) &amp; "• " &amp; 'الجدول'!L122 &amp; CHAR(10) &amp; "• " &amp; 'الجدول'!L123 &amp; CHAR(10) &amp; "• " &amp; 'الجدول'!L124 &amp; CHAR(10) &amp; CHAR(10) &amp; "■■ " &amp; 'الجدول'!M1 &amp; " ■■" &amp; CHAR(10) &amp; "• " &amp; 'الجدول'!M119 &amp; CHAR(10) &amp; "• " &amp; 'الجدول'!M120 &amp; CHAR(10) &amp; "• " &amp; 'الجدول'!M121 &amp; CHAR(10) &amp; "• " &amp; 'الجدول'!M122 &amp; CHAR(10) &amp; "• " &amp; 'الجدول'!M123 &amp; CHAR(10) &amp; "• " &amp; 'الجدول'!M124 &amp; CHAR(10) &amp; CHAR(10) &amp; "■■ " &amp; 'الجدول'!N1 &amp; " ■■" &amp; CHAR(10) &amp; "• " &amp; 'الجدول'!N119 &amp; CHAR(10) &amp; "• " &amp; 'الجدول'!N120 &amp; CHAR(10) &amp; "• " &amp; 'الجدول'!N121 &amp; CHAR(10) &amp; "• " &amp; 'الجدول'!N122 &amp; CHAR(10) &amp; "• " &amp; 'الجدول'!N123 &amp; CHAR(10) &amp; "• " &amp; 'الجدول'!N124 &amp; CHAR(10) &amp; CHAR(10)</f>
        <v>■■ ER ADMISSION-NIGHT-🚨🌙 ■■
• ----------
• ----------
• ----------
• ----------
• ----------
• ----------
■■ ER ADMISSIONS -DAY-🚨☀️ ■■
• ----------
• ----------
• ----------
• ----------
• ----------
• ----------
■■ ER GENERAL-DAY-🚨☀️ ■■
• ----------
• ----------
• ----------
• ----------
• ----------
• ----------
■■ ER GENERAL-NIGHT-🚨🌙 ■■
• ----------
• ----------
• ----------
• ----------
• ----------
• ----------
■■ ER PT-DAY-🚨☀️ ■■
• ----------
• ----------
• ----------
• ----------
• ----------
• ----------
■■ ER PT-NIGHT-🚨🌙 ■■
• ----------
• ----------
• ----------
• ----------
• ----------
• ----------
■■ ER TRIAGE-DAY-🚨☀️ ■■
• ----------
• ----------
• ----------
• ----------
• ----------
• ----------
■■ ER TRIAGE-NIGHT-🚨🌙 ■■
• ----------
• ----------
• ----------
• ----------
• ----------
• ----------
■■ ER WARD-DAY-🚨☀️ ■■
• ----------
• ----------
• ----------
• ----------
• ----------
• ----------
■■ ER WARD-NIGHT-🚨🌙 ■■
• ----------
• ----------
• ----------
• ----------
• ----------
• ----------
■■ 🗡️LISTA ■■
• ----------
• ----------
• ----------
• ----------
• ----------
• ----------
■■ WARD-DAY-☀️ ■■
• منار احمد سعيد
(01092708033)
• أعناب طارق عوض
(01146334179)
• Sara Refaat
(01220039613)
• بلال جودة
(01066199644)
• سلمى أبوالعلا
(01124166114)
• عمر حسن محمد حسن حجازي
(01019701020)
■■ WARD-NIGHT-🌙 ■■
• يوسف طه السيد
(01207620695)
• احمد حسين أحمد
(01001877491)
• سندس أحمد سيد
(01156131096)
• ملك محمد فؤاد
(01001721072)
• ----------
• ----------
</v>
      </c>
      <c r="C20" s="3" t="str">
        <f>HYPERLINK("#الجدول!A" &amp; 118, "الجدول الأساسي")</f>
        <v>الجدول الأساسي</v>
      </c>
    </row>
    <row r="21" ht="15.75" customHeight="1">
      <c r="A21" s="1" t="s">
        <v>98</v>
      </c>
      <c r="B21" s="5" t="str">
        <f>"" &amp; "■■ " &amp; 'الجدول'!B1 &amp; " ■■" &amp; CHAR(10) &amp; "• " &amp; 'الجدول'!B125 &amp; CHAR(10) &amp; "• " &amp; 'الجدول'!B126 &amp; CHAR(10) &amp; "• " &amp; 'الجدول'!B127 &amp; CHAR(10) &amp; "• " &amp; 'الجدول'!B128 &amp; CHAR(10) &amp; "• " &amp; 'الجدول'!B129 &amp; CHAR(10) &amp; CHAR(10) &amp; "■■ " &amp; 'الجدول'!C1 &amp; " ■■" &amp; CHAR(10) &amp; "• " &amp; 'الجدول'!C125 &amp; CHAR(10) &amp; "• " &amp; 'الجدول'!C126 &amp; CHAR(10) &amp; "• " &amp; 'الجدول'!C127 &amp; CHAR(10) &amp; "• " &amp; 'الجدول'!C128 &amp; CHAR(10) &amp; "• " &amp; 'الجدول'!C129 &amp; CHAR(10) &amp; CHAR(10) &amp; "■■ " &amp; 'الجدول'!D1 &amp; " ■■" &amp; CHAR(10) &amp; "• " &amp; 'الجدول'!D125 &amp; CHAR(10) &amp; "• " &amp; 'الجدول'!D126 &amp; CHAR(10) &amp; "• " &amp; 'الجدول'!D127 &amp; CHAR(10) &amp; "• " &amp; 'الجدول'!D128 &amp; CHAR(10) &amp; "• " &amp; 'الجدول'!D129 &amp; CHAR(10) &amp; CHAR(10) &amp; "■■ " &amp; 'الجدول'!E1 &amp; " ■■" &amp; CHAR(10) &amp; "• " &amp; 'الجدول'!E125 &amp; CHAR(10) &amp; "• " &amp; 'الجدول'!E126 &amp; CHAR(10) &amp; "• " &amp; 'الجدول'!E127 &amp; CHAR(10) &amp; "• " &amp; 'الجدول'!E128 &amp; CHAR(10) &amp; "• " &amp; 'الجدول'!E129 &amp; CHAR(10) &amp; CHAR(10) &amp; "■■ " &amp; 'الجدول'!F1 &amp; " ■■" &amp; CHAR(10) &amp; "• " &amp; 'الجدول'!F125 &amp; CHAR(10) &amp; "• " &amp; 'الجدول'!F126 &amp; CHAR(10) &amp; "• " &amp; 'الجدول'!F127 &amp; CHAR(10) &amp; "• " &amp; 'الجدول'!F128 &amp; CHAR(10) &amp; "• " &amp; 'الجدول'!F129 &amp; CHAR(10) &amp; CHAR(10) &amp; "■■ " &amp; 'الجدول'!G1 &amp; " ■■" &amp; CHAR(10) &amp; "• " &amp; 'الجدول'!G125 &amp; CHAR(10) &amp; "• " &amp; 'الجدول'!G126 &amp; CHAR(10) &amp; "• " &amp; 'الجدول'!G127 &amp; CHAR(10) &amp; "• " &amp; 'الجدول'!G128 &amp; CHAR(10) &amp; "• " &amp; 'الجدول'!G129 &amp; CHAR(10) &amp; CHAR(10) &amp; "■■ " &amp; 'الجدول'!H1 &amp; " ■■" &amp; CHAR(10) &amp; "• " &amp; 'الجدول'!H125 &amp; CHAR(10) &amp; "• " &amp; 'الجدول'!H126 &amp; CHAR(10) &amp; "• " &amp; 'الجدول'!H127 &amp; CHAR(10) &amp; "• " &amp; 'الجدول'!H128 &amp; CHAR(10) &amp; "• " &amp; 'الجدول'!H129 &amp; CHAR(10) &amp; CHAR(10) &amp; "■■ " &amp; 'الجدول'!I1 &amp; " ■■" &amp; CHAR(10) &amp; "• " &amp; 'الجدول'!I125 &amp; CHAR(10) &amp; "• " &amp; 'الجدول'!I126 &amp; CHAR(10) &amp; "• " &amp; 'الجدول'!I127 &amp; CHAR(10) &amp; "• " &amp; 'الجدول'!I128 &amp; CHAR(10) &amp; "• " &amp; 'الجدول'!I129 &amp; CHAR(10) &amp; CHAR(10) &amp; "■■ " &amp; 'الجدول'!J1 &amp; " ■■" &amp; CHAR(10) &amp; "• " &amp; 'الجدول'!J125 &amp; CHAR(10) &amp; "• " &amp; 'الجدول'!J126 &amp; CHAR(10) &amp; "• " &amp; 'الجدول'!J127 &amp; CHAR(10) &amp; "• " &amp; 'الجدول'!J128 &amp; CHAR(10) &amp; "• " &amp; 'الجدول'!J129 &amp; CHAR(10) &amp; CHAR(10) &amp; "■■ " &amp; 'الجدول'!K1 &amp; " ■■" &amp; CHAR(10) &amp; "• " &amp; 'الجدول'!K125 &amp; CHAR(10) &amp; "• " &amp; 'الجدول'!K126 &amp; CHAR(10) &amp; "• " &amp; 'الجدول'!K127 &amp; CHAR(10) &amp; "• " &amp; 'الجدول'!K128 &amp; CHAR(10) &amp; "• " &amp; 'الجدول'!K129 &amp; CHAR(10) &amp; CHAR(10) &amp; "■■ " &amp; 'الجدول'!L1 &amp; " ■■" &amp; CHAR(10) &amp; "• " &amp; 'الجدول'!L125 &amp; CHAR(10) &amp; "• " &amp; 'الجدول'!L126 &amp; CHAR(10) &amp; "• " &amp; 'الجدول'!L127 &amp; CHAR(10) &amp; "• " &amp; 'الجدول'!L128 &amp; CHAR(10) &amp; "• " &amp; 'الجدول'!L129 &amp; CHAR(10) &amp; CHAR(10) &amp; "■■ " &amp; 'الجدول'!M1 &amp; " ■■" &amp; CHAR(10) &amp; "• " &amp; 'الجدول'!M125 &amp; CHAR(10) &amp; "• " &amp; 'الجدول'!M126 &amp; CHAR(10) &amp; "• " &amp; 'الجدول'!M127 &amp; CHAR(10) &amp; "• " &amp; 'الجدول'!M128 &amp; CHAR(10) &amp; "• " &amp; 'الجدول'!M129 &amp; CHAR(10) &amp; CHAR(10) &amp; "■■ " &amp; 'الجدول'!N1 &amp; " ■■" &amp; CHAR(10) &amp; "• " &amp; 'الجدول'!N125 &amp; CHAR(10) &amp; "• " &amp; 'الجدول'!N126 &amp; CHAR(10) &amp; "• " &amp; 'الجدول'!N127 &amp; CHAR(10) &amp; "• " &amp; 'الجدول'!N128 &amp; CHAR(10) &amp; "• " &amp; 'الجدول'!N129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----------
• ----------
• ----------
• ----------
• ----------
■■ WARD-DAY-☀️ ■■
• زينة أشرف حسين
(01067196820)
• مها حسين السيد
(01012349071)
• دانه طارق
(01012809042)
• عبدالمسيح مكرم
(01203267885)
• احمدنوید قیومی
(01104573242)
■■ WARD-NIGHT-🌙 ■■
• يوسف طه السيد
(01207620695)
• Marwan Ayman
(01149894940)
• شهاب احمد حلمي
(01055979002)
• ----------
• ----------
</v>
      </c>
      <c r="C21" s="3" t="str">
        <f>HYPERLINK("#الجدول!A" &amp; 124, "الجدول الأساسي")</f>
        <v>الجدول الأساسي</v>
      </c>
    </row>
    <row r="22" ht="15.75" customHeight="1">
      <c r="A22" s="1" t="s">
        <v>99</v>
      </c>
      <c r="B22" s="5" t="str">
        <f>"" &amp; "■■ " &amp; 'الجدول'!B1 &amp; " ■■" &amp; CHAR(10) &amp; "• " &amp; 'الجدول'!B130 &amp; CHAR(10) &amp; "• " &amp; 'الجدول'!B131 &amp; CHAR(10) &amp; "• " &amp; 'الجدول'!B132 &amp; CHAR(10) &amp; "• " &amp; 'الجدول'!B133 &amp; CHAR(10) &amp; CHAR(10) &amp; "■■ " &amp; 'الجدول'!C1 &amp; " ■■" &amp; CHAR(10) &amp; "• " &amp; 'الجدول'!C130 &amp; CHAR(10) &amp; "• " &amp; 'الجدول'!C131 &amp; CHAR(10) &amp; "• " &amp; 'الجدول'!C132 &amp; CHAR(10) &amp; "• " &amp; 'الجدول'!C133 &amp; CHAR(10) &amp; CHAR(10) &amp; "■■ " &amp; 'الجدول'!D1 &amp; " ■■" &amp; CHAR(10) &amp; "• " &amp; 'الجدول'!D130 &amp; CHAR(10) &amp; "• " &amp; 'الجدول'!D131 &amp; CHAR(10) &amp; "• " &amp; 'الجدول'!D132 &amp; CHAR(10) &amp; "• " &amp; 'الجدول'!D133 &amp; CHAR(10) &amp; CHAR(10) &amp; "■■ " &amp; 'الجدول'!E1 &amp; " ■■" &amp; CHAR(10) &amp; "• " &amp; 'الجدول'!E130 &amp; CHAR(10) &amp; "• " &amp; 'الجدول'!E131 &amp; CHAR(10) &amp; "• " &amp; 'الجدول'!E132 &amp; CHAR(10) &amp; "• " &amp; 'الجدول'!E133 &amp; CHAR(10) &amp; CHAR(10) &amp; "■■ " &amp; 'الجدول'!F1 &amp; " ■■" &amp; CHAR(10) &amp; "• " &amp; 'الجدول'!F130 &amp; CHAR(10) &amp; "• " &amp; 'الجدول'!F131 &amp; CHAR(10) &amp; "• " &amp; 'الجدول'!F132 &amp; CHAR(10) &amp; "• " &amp; 'الجدول'!F133 &amp; CHAR(10) &amp; CHAR(10) &amp; "■■ " &amp; 'الجدول'!G1 &amp; " ■■" &amp; CHAR(10) &amp; "• " &amp; 'الجدول'!G130 &amp; CHAR(10) &amp; "• " &amp; 'الجدول'!G131 &amp; CHAR(10) &amp; "• " &amp; 'الجدول'!G132 &amp; CHAR(10) &amp; "• " &amp; 'الجدول'!G133 &amp; CHAR(10) &amp; CHAR(10) &amp; "■■ " &amp; 'الجدول'!H1 &amp; " ■■" &amp; CHAR(10) &amp; "• " &amp; 'الجدول'!H130 &amp; CHAR(10) &amp; "• " &amp; 'الجدول'!H131 &amp; CHAR(10) &amp; "• " &amp; 'الجدول'!H132 &amp; CHAR(10) &amp; "• " &amp; 'الجدول'!H133 &amp; CHAR(10) &amp; CHAR(10) &amp; "■■ " &amp; 'الجدول'!I1 &amp; " ■■" &amp; CHAR(10) &amp; "• " &amp; 'الجدول'!I130 &amp; CHAR(10) &amp; "• " &amp; 'الجدول'!I131 &amp; CHAR(10) &amp; "• " &amp; 'الجدول'!I132 &amp; CHAR(10) &amp; "• " &amp; 'الجدول'!I133 &amp; CHAR(10) &amp; CHAR(10) &amp; "■■ " &amp; 'الجدول'!J1 &amp; " ■■" &amp; CHAR(10) &amp; "• " &amp; 'الجدول'!J130 &amp; CHAR(10) &amp; "• " &amp; 'الجدول'!J131 &amp; CHAR(10) &amp; "• " &amp; 'الجدول'!J132 &amp; CHAR(10) &amp; "• " &amp; 'الجدول'!J133 &amp; CHAR(10) &amp; CHAR(10) &amp; "■■ " &amp; 'الجدول'!K1 &amp; " ■■" &amp; CHAR(10) &amp; "• " &amp; 'الجدول'!K130 &amp; CHAR(10) &amp; "• " &amp; 'الجدول'!K131 &amp; CHAR(10) &amp; "• " &amp; 'الجدول'!K132 &amp; CHAR(10) &amp; "• " &amp; 'الجدول'!K133 &amp; CHAR(10) &amp; CHAR(10) &amp; "■■ " &amp; 'الجدول'!L1 &amp; " ■■" &amp; CHAR(10) &amp; "• " &amp; 'الجدول'!L130 &amp; CHAR(10) &amp; "• " &amp; 'الجدول'!L131 &amp; CHAR(10) &amp; "• " &amp; 'الجدول'!L132 &amp; CHAR(10) &amp; "• " &amp; 'الجدول'!L133 &amp; CHAR(10) &amp; CHAR(10) &amp; "■■ " &amp; 'الجدول'!M1 &amp; " ■■" &amp; CHAR(10) &amp; "• " &amp; 'الجدول'!M130 &amp; CHAR(10) &amp; "• " &amp; 'الجدول'!M131 &amp; CHAR(10) &amp; "• " &amp; 'الجدول'!M132 &amp; CHAR(10) &amp; "• " &amp; 'الجدول'!M133 &amp; CHAR(10) &amp; CHAR(10) &amp; "■■ " &amp; 'الجدول'!N1 &amp; " ■■" &amp; CHAR(10) &amp; "• " &amp; 'الجدول'!N130 &amp; CHAR(10) &amp; "• " &amp; 'الجدول'!N131 &amp; CHAR(10) &amp; "• " &amp; 'الجدول'!N132 &amp; CHAR(10) &amp; "• " &amp; 'الجدول'!N133 &amp; CHAR(10) &amp; CHAR(10)</f>
        <v>■■ ER ADMISSION-NIGHT-🚨🌙 ■■
• ----------
• ----------
• ----------
• ----------
■■ ER ADMISSIONS -DAY-🚨☀️ ■■
• ----------
• ----------
• ----------
• ----------
■■ ER GENERAL-DAY-🚨☀️ ■■
• ----------
• ----------
• ----------
• ----------
■■ ER GENERAL-NIGHT-🚨🌙 ■■
• ----------
• ----------
• ----------
• ----------
■■ ER PT-DAY-🚨☀️ ■■
• ----------
• ----------
• ----------
• ----------
■■ ER PT-NIGHT-🚨🌙 ■■
• ----------
• ----------
• ----------
• ----------
■■ ER TRIAGE-DAY-🚨☀️ ■■
• ----------
• ----------
• ----------
• ----------
■■ ER TRIAGE-NIGHT-🚨🌙 ■■
• ----------
• ----------
• ----------
• ----------
■■ ER WARD-DAY-🚨☀️ ■■
• ----------
• ----------
• ----------
• ----------
■■ ER WARD-NIGHT-🚨🌙 ■■
• ----------
• ----------
• ----------
• ----------
■■ 🗡️LISTA ■■
• ----------
• ----------
• ----------
• ----------
■■ WARD-DAY-☀️ ■■
• رنيم حاتم رفيق بسيسو
(01144758373)
• حنان النبوى محمد
(01067888751)
• Alaa mahmoud El haddad
(01033882560)
• Mostafa Ismail
(01022400525)
■■ WARD-NIGHT-🌙 ■■
• محمد احمد بسام الجمل
(01091463337)
• عبدالله احمد
(01020242571)
• شيماء رمضان سعد
(01021468731)
• احمد عزت الشيخ
(01226872660)
</v>
      </c>
      <c r="C22" s="3" t="str">
        <f>HYPERLINK("#الجدول!A" &amp; 129, "الجدول الأساسي")</f>
        <v>الجدول الأساسي</v>
      </c>
    </row>
    <row r="23" ht="15.75" customHeight="1">
      <c r="A23" s="1" t="s">
        <v>100</v>
      </c>
      <c r="B23" s="5" t="str">
        <f>"" &amp; "■■ " &amp; 'الجدول'!B1 &amp; " ■■" &amp; CHAR(10) &amp; "• " &amp; 'الجدول'!B134 &amp; CHAR(10) &amp; "• " &amp; 'الجدول'!B135 &amp; CHAR(10) &amp; "• " &amp; 'الجدول'!B136 &amp; CHAR(10) &amp; "• " &amp; 'الجدول'!B137 &amp; CHAR(10) &amp; "• " &amp; 'الجدول'!B138 &amp; CHAR(10) &amp; CHAR(10) &amp; "■■ " &amp; 'الجدول'!C1 &amp; " ■■" &amp; CHAR(10) &amp; "• " &amp; 'الجدول'!C134 &amp; CHAR(10) &amp; "• " &amp; 'الجدول'!C135 &amp; CHAR(10) &amp; "• " &amp; 'الجدول'!C136 &amp; CHAR(10) &amp; "• " &amp; 'الجدول'!C137 &amp; CHAR(10) &amp; "• " &amp; 'الجدول'!C138 &amp; CHAR(10) &amp; CHAR(10) &amp; "■■ " &amp; 'الجدول'!D1 &amp; " ■■" &amp; CHAR(10) &amp; "• " &amp; 'الجدول'!D134 &amp; CHAR(10) &amp; "• " &amp; 'الجدول'!D135 &amp; CHAR(10) &amp; "• " &amp; 'الجدول'!D136 &amp; CHAR(10) &amp; "• " &amp; 'الجدول'!D137 &amp; CHAR(10) &amp; "• " &amp; 'الجدول'!D138 &amp; CHAR(10) &amp; CHAR(10) &amp; "■■ " &amp; 'الجدول'!E1 &amp; " ■■" &amp; CHAR(10) &amp; "• " &amp; 'الجدول'!E134 &amp; CHAR(10) &amp; "• " &amp; 'الجدول'!E135 &amp; CHAR(10) &amp; "• " &amp; 'الجدول'!E136 &amp; CHAR(10) &amp; "• " &amp; 'الجدول'!E137 &amp; CHAR(10) &amp; "• " &amp; 'الجدول'!E138 &amp; CHAR(10) &amp; CHAR(10) &amp; "■■ " &amp; 'الجدول'!F1 &amp; " ■■" &amp; CHAR(10) &amp; "• " &amp; 'الجدول'!F134 &amp; CHAR(10) &amp; "• " &amp; 'الجدول'!F135 &amp; CHAR(10) &amp; "• " &amp; 'الجدول'!F136 &amp; CHAR(10) &amp; "• " &amp; 'الجدول'!F137 &amp; CHAR(10) &amp; "• " &amp; 'الجدول'!F138 &amp; CHAR(10) &amp; CHAR(10) &amp; "■■ " &amp; 'الجدول'!G1 &amp; " ■■" &amp; CHAR(10) &amp; "• " &amp; 'الجدول'!G134 &amp; CHAR(10) &amp; "• " &amp; 'الجدول'!G135 &amp; CHAR(10) &amp; "• " &amp; 'الجدول'!G136 &amp; CHAR(10) &amp; "• " &amp; 'الجدول'!G137 &amp; CHAR(10) &amp; "• " &amp; 'الجدول'!G138 &amp; CHAR(10) &amp; CHAR(10) &amp; "■■ " &amp; 'الجدول'!H1 &amp; " ■■" &amp; CHAR(10) &amp; "• " &amp; 'الجدول'!H134 &amp; CHAR(10) &amp; "• " &amp; 'الجدول'!H135 &amp; CHAR(10) &amp; "• " &amp; 'الجدول'!H136 &amp; CHAR(10) &amp; "• " &amp; 'الجدول'!H137 &amp; CHAR(10) &amp; "• " &amp; 'الجدول'!H138 &amp; CHAR(10) &amp; CHAR(10) &amp; "■■ " &amp; 'الجدول'!I1 &amp; " ■■" &amp; CHAR(10) &amp; "• " &amp; 'الجدول'!I134 &amp; CHAR(10) &amp; "• " &amp; 'الجدول'!I135 &amp; CHAR(10) &amp; "• " &amp; 'الجدول'!I136 &amp; CHAR(10) &amp; "• " &amp; 'الجدول'!I137 &amp; CHAR(10) &amp; "• " &amp; 'الجدول'!I138 &amp; CHAR(10) &amp; CHAR(10) &amp; "■■ " &amp; 'الجدول'!J1 &amp; " ■■" &amp; CHAR(10) &amp; "• " &amp; 'الجدول'!J134 &amp; CHAR(10) &amp; "• " &amp; 'الجدول'!J135 &amp; CHAR(10) &amp; "• " &amp; 'الجدول'!J136 &amp; CHAR(10) &amp; "• " &amp; 'الجدول'!J137 &amp; CHAR(10) &amp; "• " &amp; 'الجدول'!J138 &amp; CHAR(10) &amp; CHAR(10) &amp; "■■ " &amp; 'الجدول'!K1 &amp; " ■■" &amp; CHAR(10) &amp; "• " &amp; 'الجدول'!K134 &amp; CHAR(10) &amp; "• " &amp; 'الجدول'!K135 &amp; CHAR(10) &amp; "• " &amp; 'الجدول'!K136 &amp; CHAR(10) &amp; "• " &amp; 'الجدول'!K137 &amp; CHAR(10) &amp; "• " &amp; 'الجدول'!K138 &amp; CHAR(10) &amp; CHAR(10) &amp; "■■ " &amp; 'الجدول'!L1 &amp; " ■■" &amp; CHAR(10) &amp; "• " &amp; 'الجدول'!L134 &amp; CHAR(10) &amp; "• " &amp; 'الجدول'!L135 &amp; CHAR(10) &amp; "• " &amp; 'الجدول'!L136 &amp; CHAR(10) &amp; "• " &amp; 'الجدول'!L137 &amp; CHAR(10) &amp; "• " &amp; 'الجدول'!L138 &amp; CHAR(10) &amp; CHAR(10) &amp; "■■ " &amp; 'الجدول'!M1 &amp; " ■■" &amp; CHAR(10) &amp; "• " &amp; 'الجدول'!M134 &amp; CHAR(10) &amp; "• " &amp; 'الجدول'!M135 &amp; CHAR(10) &amp; "• " &amp; 'الجدول'!M136 &amp; CHAR(10) &amp; "• " &amp; 'الجدول'!M137 &amp; CHAR(10) &amp; "• " &amp; 'الجدول'!M138 &amp; CHAR(10) &amp; CHAR(10) &amp; "■■ " &amp; 'الجدول'!N1 &amp; " ■■" &amp; CHAR(10) &amp; "• " &amp; 'الجدول'!N134 &amp; CHAR(10) &amp; "• " &amp; 'الجدول'!N135 &amp; CHAR(10) &amp; "• " &amp; 'الجدول'!N136 &amp; CHAR(10) &amp; "• " &amp; 'الجدول'!N137 &amp; CHAR(10) &amp; "• " &amp; 'الجدول'!N138 &amp; CHAR(10) &amp; CHAR(10)</f>
        <v>■■ ER ADMISSION-NIGHT-🚨🌙 ■■
• ----------
• ----------
• ----------
• ----------
• ----------
■■ ER ADMISSIONS -DAY-🚨☀️ ■■
• ----------
• ----------
• ----------
• ----------
• ----------
■■ ER GENERAL-DAY-🚨☀️ ■■
• ----------
• ----------
• ----------
• ----------
• ----------
■■ ER GENERAL-NIGHT-🚨🌙 ■■
• ----------
• ----------
• ----------
• ----------
• ----------
■■ ER PT-DAY-🚨☀️ ■■
• ----------
• ----------
• ----------
• ----------
• ----------
■■ ER PT-NIGHT-🚨🌙 ■■
• ----------
• ----------
• ----------
• ----------
• ----------
■■ ER TRIAGE-DAY-🚨☀️ ■■
• ----------
• ----------
• ----------
• ----------
• ----------
■■ ER TRIAGE-NIGHT-🚨🌙 ■■
• ----------
• ----------
• ----------
• ----------
• ----------
■■ ER WARD-DAY-🚨☀️ ■■
• ----------
• ----------
• ----------
• ----------
• ----------
■■ ER WARD-NIGHT-🚨🌙 ■■
• ----------
• ----------
• ----------
• ----------
• ----------
■■ 🗡️LISTA ■■
• عمر محمد سيد
(01000688544)
• منار احمد سعيد
(01092708033)
• روان ياسر سليم
(01005005160)
• ----------
• ----------
■■ WARD-DAY-☀️ ■■
• Marwan Ayman
(01149894940)
• Ziad said mohamed
(01028577876)
• عمرو عبدالغفار حمزة
(01014246636)
• Sara Refaat
(01220039613)
• رنا اكرم احمد
(01122182132)
■■ WARD-NIGHT-🌙 ■■
• يوسف طه السيد
(01207620695)
• شدو محمد شلتوت
(1550336384)
• نورهان محمد
(0112 826 8287)
• ----------
• ----------
</v>
      </c>
      <c r="C23" s="3" t="str">
        <f>HYPERLINK("#الجدول!A" &amp; 133, "الجدول الأساسي")</f>
        <v>الجدول الأساسي</v>
      </c>
    </row>
    <row r="24" ht="15.75" customHeight="1">
      <c r="A24" s="1"/>
      <c r="B24" s="5"/>
      <c r="C24" s="3"/>
    </row>
    <row r="25" ht="15.75" customHeight="1">
      <c r="A25" s="1"/>
      <c r="B25" s="5"/>
      <c r="C25" s="3"/>
    </row>
    <row r="26" ht="15.75" customHeight="1">
      <c r="A26" s="1"/>
      <c r="B26" s="5"/>
      <c r="C26" s="3"/>
    </row>
    <row r="27" ht="15.75" customHeight="1">
      <c r="A27" s="1"/>
      <c r="B27" s="5"/>
      <c r="C27" s="3"/>
    </row>
    <row r="28" ht="15.75" customHeight="1">
      <c r="A28" s="1"/>
      <c r="B28" s="5"/>
      <c r="C28" s="3"/>
    </row>
    <row r="29" ht="15.75" customHeight="1">
      <c r="A29" s="1"/>
      <c r="B29" s="5"/>
      <c r="C29" s="3"/>
    </row>
    <row r="30" ht="15.75" customHeight="1">
      <c r="A30" s="1"/>
      <c r="B30" s="5"/>
      <c r="C30" s="3"/>
    </row>
    <row r="31" ht="15.75" customHeight="1">
      <c r="A31" s="1"/>
      <c r="B31" s="5"/>
      <c r="C31" s="3"/>
    </row>
    <row r="32" ht="15.75" customHeight="1">
      <c r="A32" s="1"/>
      <c r="B32" s="5"/>
      <c r="C32" s="3"/>
    </row>
    <row r="33" ht="15.75" customHeight="1">
      <c r="A33" s="1"/>
      <c r="B33" s="5"/>
      <c r="C33" s="3"/>
    </row>
    <row r="34" ht="15.75" customHeight="1">
      <c r="A34" s="1"/>
      <c r="B34" s="5"/>
      <c r="C34" s="3"/>
    </row>
    <row r="35" ht="15.75" customHeight="1">
      <c r="A35" s="1"/>
      <c r="B35" s="5"/>
      <c r="C35" s="3"/>
    </row>
    <row r="36" ht="15.75" customHeight="1">
      <c r="A36" s="1"/>
      <c r="B36" s="5"/>
      <c r="C36" s="3"/>
    </row>
    <row r="37" ht="15.75" customHeight="1">
      <c r="A37" s="1"/>
      <c r="B37" s="5"/>
      <c r="C37" s="3"/>
    </row>
    <row r="38" ht="15.75" customHeight="1">
      <c r="A38" s="1"/>
      <c r="B38" s="5"/>
      <c r="C38" s="3"/>
    </row>
    <row r="39" ht="15.75" customHeight="1">
      <c r="A39" s="1"/>
      <c r="B39" s="5"/>
      <c r="C39" s="3"/>
    </row>
    <row r="40" ht="15.75" customHeight="1">
      <c r="A40" s="1"/>
      <c r="B40" s="5"/>
      <c r="C40" s="3"/>
    </row>
    <row r="41" ht="15.75" customHeight="1">
      <c r="A41" s="1"/>
      <c r="B41" s="5"/>
      <c r="C41" s="3"/>
    </row>
    <row r="42" ht="15.75" customHeight="1">
      <c r="A42" s="1"/>
      <c r="B42" s="5"/>
      <c r="C42" s="3"/>
    </row>
    <row r="43" ht="15.75" customHeight="1">
      <c r="A43" s="1"/>
      <c r="B43" s="5"/>
      <c r="C43" s="3"/>
    </row>
    <row r="44" ht="15.75" customHeight="1">
      <c r="A44" s="1"/>
      <c r="B44" s="5"/>
      <c r="C44" s="3"/>
    </row>
    <row r="45" ht="15.75" customHeight="1">
      <c r="A45" s="1"/>
      <c r="B45" s="5"/>
      <c r="C45" s="3"/>
    </row>
    <row r="46" ht="15.75" customHeight="1">
      <c r="A46" s="1"/>
      <c r="B46" s="5"/>
      <c r="C46" s="3"/>
    </row>
    <row r="47" ht="15.75" customHeight="1">
      <c r="A47" s="1"/>
      <c r="B47" s="5"/>
      <c r="C47" s="3"/>
    </row>
    <row r="48" ht="15.75" customHeight="1">
      <c r="A48" s="1"/>
      <c r="B48" s="5"/>
      <c r="C48" s="3"/>
    </row>
    <row r="49" ht="15.75" customHeight="1">
      <c r="A49" s="1"/>
      <c r="B49" s="5"/>
      <c r="C49" s="3"/>
    </row>
    <row r="50" ht="15.75" customHeight="1">
      <c r="A50" s="1"/>
      <c r="B50" s="5"/>
      <c r="C50" s="3"/>
    </row>
    <row r="51" ht="15.75" customHeight="1">
      <c r="A51" s="1"/>
      <c r="B51" s="5"/>
      <c r="C51" s="3"/>
    </row>
    <row r="52" ht="15.75" customHeight="1">
      <c r="A52" s="1"/>
      <c r="B52" s="5"/>
      <c r="C52" s="3"/>
    </row>
    <row r="53" ht="15.75" customHeight="1">
      <c r="A53" s="1"/>
      <c r="B53" s="5"/>
      <c r="C53" s="3"/>
    </row>
    <row r="54" ht="15.75" customHeight="1">
      <c r="A54" s="1"/>
      <c r="B54" s="5"/>
      <c r="C54" s="3"/>
    </row>
    <row r="55" ht="15.75" customHeight="1">
      <c r="A55" s="1"/>
      <c r="B55" s="5"/>
      <c r="C55" s="3"/>
    </row>
    <row r="56" ht="15.75" customHeight="1">
      <c r="A56" s="1"/>
      <c r="B56" s="5"/>
      <c r="C56" s="3"/>
    </row>
    <row r="57" ht="15.75" customHeight="1">
      <c r="A57" s="1"/>
      <c r="B57" s="5"/>
      <c r="C57" s="3"/>
    </row>
    <row r="58" ht="15.75" customHeight="1">
      <c r="A58" s="1"/>
      <c r="B58" s="5"/>
      <c r="C58" s="3"/>
    </row>
    <row r="59" ht="15.75" customHeight="1">
      <c r="A59" s="1"/>
      <c r="B59" s="5"/>
      <c r="C59" s="3"/>
    </row>
    <row r="60" ht="15.75" customHeight="1">
      <c r="A60" s="1"/>
      <c r="B60" s="5"/>
      <c r="C60" s="3"/>
    </row>
    <row r="61" ht="15.75" customHeight="1">
      <c r="A61" s="1"/>
      <c r="B61" s="5"/>
      <c r="C61" s="3"/>
    </row>
    <row r="62" ht="15.75" customHeight="1">
      <c r="A62" s="1"/>
      <c r="B62" s="5"/>
      <c r="C62" s="3"/>
    </row>
    <row r="63" ht="15.75" customHeight="1">
      <c r="A63" s="1"/>
      <c r="B63" s="5"/>
      <c r="C63" s="3"/>
    </row>
    <row r="64" ht="15.75" customHeight="1">
      <c r="A64" s="1"/>
      <c r="B64" s="5"/>
      <c r="C64" s="3"/>
    </row>
    <row r="65" ht="15.75" customHeight="1">
      <c r="A65" s="1"/>
      <c r="B65" s="5"/>
      <c r="C65" s="3"/>
    </row>
    <row r="66" ht="15.75" customHeight="1">
      <c r="A66" s="1"/>
      <c r="B66" s="5"/>
      <c r="C66" s="3"/>
    </row>
    <row r="67" ht="15.75" customHeight="1">
      <c r="A67" s="1"/>
      <c r="B67" s="5"/>
      <c r="C67" s="3"/>
    </row>
    <row r="68" ht="15.75" customHeight="1">
      <c r="A68" s="1"/>
      <c r="B68" s="5"/>
      <c r="C68" s="3"/>
    </row>
    <row r="69" ht="15.75" customHeight="1">
      <c r="A69" s="1"/>
      <c r="B69" s="5"/>
      <c r="C69" s="3"/>
    </row>
    <row r="70" ht="15.75" customHeight="1">
      <c r="A70" s="1"/>
      <c r="B70" s="5"/>
      <c r="C70" s="3"/>
    </row>
    <row r="71" ht="15.75" customHeight="1">
      <c r="A71" s="1"/>
      <c r="B71" s="5"/>
      <c r="C71" s="3"/>
    </row>
    <row r="72" ht="15.75" customHeight="1">
      <c r="A72" s="1"/>
      <c r="B72" s="5"/>
      <c r="C72" s="3"/>
    </row>
    <row r="73" ht="15.75" customHeight="1">
      <c r="A73" s="1"/>
      <c r="B73" s="5"/>
      <c r="C73" s="3"/>
    </row>
    <row r="74" ht="15.75" customHeight="1">
      <c r="A74" s="1"/>
      <c r="B74" s="5"/>
      <c r="C74" s="3"/>
    </row>
    <row r="75" ht="15.75" customHeight="1">
      <c r="A75" s="1"/>
      <c r="B75" s="5"/>
      <c r="C75" s="3"/>
    </row>
    <row r="76" ht="15.75" customHeight="1">
      <c r="A76" s="1"/>
      <c r="B76" s="5"/>
      <c r="C76" s="3"/>
    </row>
    <row r="77" ht="15.75" customHeight="1">
      <c r="A77" s="1"/>
      <c r="B77" s="5"/>
      <c r="C77" s="3"/>
    </row>
    <row r="78" ht="15.75" customHeight="1">
      <c r="A78" s="1"/>
      <c r="B78" s="5"/>
      <c r="C78" s="3"/>
    </row>
    <row r="79" ht="15.75" customHeight="1">
      <c r="A79" s="1"/>
      <c r="B79" s="5"/>
      <c r="C79" s="3"/>
    </row>
    <row r="80" ht="15.75" customHeight="1">
      <c r="A80" s="1"/>
      <c r="B80" s="5"/>
      <c r="C80" s="3"/>
    </row>
    <row r="81" ht="15.75" customHeight="1">
      <c r="A81" s="1"/>
      <c r="B81" s="5"/>
      <c r="C81" s="3"/>
    </row>
    <row r="82" ht="15.75" customHeight="1">
      <c r="A82" s="1"/>
      <c r="B82" s="5"/>
      <c r="C82" s="3"/>
    </row>
    <row r="83" ht="15.75" customHeight="1">
      <c r="A83" s="1"/>
      <c r="B83" s="5"/>
      <c r="C83" s="3"/>
    </row>
    <row r="84" ht="15.75" customHeight="1">
      <c r="A84" s="1"/>
      <c r="B84" s="5"/>
      <c r="C84" s="3"/>
    </row>
    <row r="85" ht="15.75" customHeight="1">
      <c r="A85" s="1"/>
      <c r="B85" s="5"/>
      <c r="C85" s="3"/>
    </row>
    <row r="86" ht="15.75" customHeight="1">
      <c r="A86" s="1"/>
      <c r="B86" s="5"/>
      <c r="C86" s="3"/>
    </row>
    <row r="87" ht="15.75" customHeight="1">
      <c r="A87" s="1"/>
      <c r="B87" s="5"/>
      <c r="C87" s="3"/>
    </row>
    <row r="88" ht="15.75" customHeight="1">
      <c r="A88" s="1"/>
      <c r="B88" s="5"/>
      <c r="C88" s="3"/>
    </row>
    <row r="89" ht="15.75" customHeight="1">
      <c r="A89" s="1"/>
      <c r="B89" s="5"/>
      <c r="C89" s="3"/>
    </row>
    <row r="90" ht="15.75" customHeight="1">
      <c r="A90" s="1"/>
      <c r="B90" s="5"/>
      <c r="C90" s="3"/>
    </row>
    <row r="91" ht="15.75" customHeight="1">
      <c r="A91" s="1"/>
      <c r="B91" s="5"/>
      <c r="C91" s="3"/>
    </row>
    <row r="92" ht="15.75" customHeight="1">
      <c r="A92" s="1"/>
      <c r="B92" s="5"/>
      <c r="C92" s="3"/>
    </row>
    <row r="93" ht="15.75" customHeight="1">
      <c r="A93" s="1"/>
      <c r="B93" s="5"/>
      <c r="C93" s="3"/>
    </row>
    <row r="94" ht="15.75" customHeight="1">
      <c r="A94" s="1"/>
      <c r="B94" s="5"/>
      <c r="C94" s="3"/>
    </row>
    <row r="95" ht="15.75" customHeight="1">
      <c r="A95" s="1"/>
      <c r="B95" s="5"/>
      <c r="C95" s="3"/>
    </row>
    <row r="96" ht="15.75" customHeight="1">
      <c r="A96" s="1"/>
      <c r="B96" s="5"/>
      <c r="C96" s="3"/>
    </row>
    <row r="97" ht="15.75" customHeight="1">
      <c r="A97" s="1"/>
      <c r="B97" s="5"/>
      <c r="C97" s="3"/>
    </row>
    <row r="98" ht="15.75" customHeight="1">
      <c r="A98" s="1"/>
      <c r="B98" s="5"/>
      <c r="C98" s="3"/>
    </row>
    <row r="99" ht="15.75" customHeight="1">
      <c r="A99" s="1"/>
      <c r="B99" s="5"/>
      <c r="C99" s="3"/>
    </row>
    <row r="100" ht="15.75" customHeight="1">
      <c r="A100" s="1"/>
      <c r="B100" s="5"/>
      <c r="C100" s="3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الجدول</vt:lpstr>
      <vt:lpstr>مجمع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2026-01-08T20:20:10Z</dcterms:created>
  <dc:creator/>
  <cp:lastModifiedBy/>
  <dcterms:modified xsi:type="dcterms:W3CDTF">2026-01-08T20:20:10Z</dcterms:modified>
</cp:coreProperties>
</file>