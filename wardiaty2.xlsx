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جدول" sheetId="1" r:id="rId4"/>
    <sheet state="visible" name="مجمع" sheetId="2" r:id="rId5"/>
  </sheets>
  <definedNames/>
  <calcPr/>
</workbook>
</file>

<file path=xl/sharedStrings.xml><?xml version="1.0" encoding="utf-8"?>
<sst xmlns="http://schemas.openxmlformats.org/spreadsheetml/2006/main" count="2940" uniqueCount="114">
  <si>
    <t xml:space="preserve"> </t>
  </si>
  <si>
    <t>A) DAY CLINIC THEN OPERATIONS</t>
  </si>
  <si>
    <t>A) NIGHT OPERATIONS</t>
  </si>
  <si>
    <t>B) DAY SENIOR GENERAL</t>
  </si>
  <si>
    <t>B) NIGHT SENIOR GENERAL</t>
  </si>
  <si>
    <t>C) DAY ADMISSION</t>
  </si>
  <si>
    <t>C) NIGHT ADMISSION</t>
  </si>
  <si>
    <t>D) DAY GENERAL</t>
  </si>
  <si>
    <t>D) NIGHT GENERAL</t>
  </si>
  <si>
    <t>E) DAY SENIOR PT</t>
  </si>
  <si>
    <t>E) NIGHT SENIOR PT</t>
  </si>
  <si>
    <t>F) DAY PT</t>
  </si>
  <si>
    <t>F) NIGHT PT</t>
  </si>
  <si>
    <t>G) DAY WARD</t>
  </si>
  <si>
    <t>G) NIGHT WARD</t>
  </si>
  <si>
    <t>Shift ward 1-8pm</t>
  </si>
  <si>
    <t>شيفت صباحى</t>
  </si>
  <si>
    <t>شيفت مسائى</t>
  </si>
  <si>
    <t>ليستة</t>
  </si>
  <si>
    <t>2026-02-01 الأحد</t>
  </si>
  <si>
    <t>----------</t>
  </si>
  <si>
    <t>عمر محمد عبد الفتاح
(01102262698)</t>
  </si>
  <si>
    <t>أحمد محمد أحمد
(01112122129)</t>
  </si>
  <si>
    <t>محمد علي جادالرب
(01553129877)</t>
  </si>
  <si>
    <t>تمارا خالد جمال الدين
(01096688868)</t>
  </si>
  <si>
    <t>عمر محمد أحمد
(01208321212)</t>
  </si>
  <si>
    <t>Mahinour Ashraf Soud
(01068470463)</t>
  </si>
  <si>
    <t>هبة جمال محمد محمد
(01027181761)</t>
  </si>
  <si>
    <t>رحاب يحيي احمد
(01150081936)</t>
  </si>
  <si>
    <t>Mohamed lotfy
(01064810610)</t>
  </si>
  <si>
    <t>2026-02-02 الاثنين</t>
  </si>
  <si>
    <t>مصطفى رمضان مصطفى
(01274212921)</t>
  </si>
  <si>
    <t>عبدالرحمن رمضان رزق
(01098897354)</t>
  </si>
  <si>
    <t>Nada Mohamed Ahmed
(01141380592)</t>
  </si>
  <si>
    <t>مريم علاء محمود
(01001770021)</t>
  </si>
  <si>
    <t>أحمد شعبان أحمد
(01093392523)</t>
  </si>
  <si>
    <t>ابراهيم احمد السيد
(01158350951)</t>
  </si>
  <si>
    <t>مروان عبد المقصود نصر
(01272940086)</t>
  </si>
  <si>
    <t>عائشة عمرو قرشي
(01002171719)</t>
  </si>
  <si>
    <t>خالد شريف البجيرمي
(01062857469)</t>
  </si>
  <si>
    <t>2026-02-03 الثلاثاء</t>
  </si>
  <si>
    <t>ميار مسعد توفيق
(01153028000)</t>
  </si>
  <si>
    <t>سارة امين انور
(01212624091)</t>
  </si>
  <si>
    <t>جورج ممدوح
(01207444355)</t>
  </si>
  <si>
    <t>مصطفي ابراهيم عبدالرحيم
(01098440316)</t>
  </si>
  <si>
    <t>فاطمة أحمد درويش
(01093879135)</t>
  </si>
  <si>
    <t>2026-02-04 الأربعاء</t>
  </si>
  <si>
    <t>نورهان ياسر عبدالمعز
(01063257329)</t>
  </si>
  <si>
    <t>حازم كرم كرم
(01118280669)</t>
  </si>
  <si>
    <t>Beshoy Botros
(01274308491)</t>
  </si>
  <si>
    <t>ReHab Nasser Khamis
(01159448250)</t>
  </si>
  <si>
    <t>يوسف احمد يحيى
(01030652702)</t>
  </si>
  <si>
    <t>أحمد محمد فتحي
(01151513326)</t>
  </si>
  <si>
    <t>محمد عبد اللاه السيد حامد
(01559004738)</t>
  </si>
  <si>
    <t>سلوى نبيل متولي
(01116383438)</t>
  </si>
  <si>
    <t>كمال فضل محمد
(01102343017)</t>
  </si>
  <si>
    <t>منة الله فؤاد القماح
(1013662223)</t>
  </si>
  <si>
    <t>محمد السيد سعد
(01110135622)</t>
  </si>
  <si>
    <t>حازم خالد حسن
(01005673996)</t>
  </si>
  <si>
    <t>عمر سراج الدين فتحي
(01142862330)</t>
  </si>
  <si>
    <t>عمر وليد محمد
(01062000026)</t>
  </si>
  <si>
    <t>Mona araby sayed
(01102616595)</t>
  </si>
  <si>
    <t>هبه محمد نجيب
(01507093786)</t>
  </si>
  <si>
    <t>فاطِمة حلمي صالح
(01023893860)</t>
  </si>
  <si>
    <t>يمنى جمال فتحي
(01040454689)</t>
  </si>
  <si>
    <t>جهاد محمد السيد
(01011294223)</t>
  </si>
  <si>
    <t>احمد رزق
(٠١٠٠٢٣٣٥٤٨٦)</t>
  </si>
  <si>
    <t>عبدالرحمن عصام حلمى
(01028229796)</t>
  </si>
  <si>
    <t>سامي ابراهيم علي
(01114713755)</t>
  </si>
  <si>
    <t>العوضي أسامة العوضي جراوش
(01144402429)</t>
  </si>
  <si>
    <t>رضوى صلاح
(01002301809)</t>
  </si>
  <si>
    <t>ياسمين زهدي السيد
(01098924963)</t>
  </si>
  <si>
    <t>حسام سالم الداعور
(01123835996)</t>
  </si>
  <si>
    <t>فؤاد أحمد عبدالمنعم
(01091535003)</t>
  </si>
  <si>
    <t>شاهيناز عبدالعزيز محمد
(01062940492)</t>
  </si>
  <si>
    <t>Raghad Elhamy
(01116764208)</t>
  </si>
  <si>
    <t>2026-02-05 الخميس</t>
  </si>
  <si>
    <t>محمود سليم عاشور
(01107286243)</t>
  </si>
  <si>
    <t>حنين احمد  علي
(01092469321)</t>
  </si>
  <si>
    <t>2026-02-06 الجمعة</t>
  </si>
  <si>
    <t>2026-02-07 السبت</t>
  </si>
  <si>
    <t>ناتالي هاني
(01202965506)</t>
  </si>
  <si>
    <t>2026-02-08 الأحد</t>
  </si>
  <si>
    <t>2026-02-09 الاثنين</t>
  </si>
  <si>
    <t>2026-02-10 الثلاثاء</t>
  </si>
  <si>
    <t>محمد محمود عبدالسلام
(01152327499)</t>
  </si>
  <si>
    <t>2026-02-11 الأربعاء</t>
  </si>
  <si>
    <t>2026-02-12 الخميس</t>
  </si>
  <si>
    <t>Hasnaa gamal
(01111693084)</t>
  </si>
  <si>
    <t>2026-02-13 الجمعة</t>
  </si>
  <si>
    <t>2026-02-14 السبت</t>
  </si>
  <si>
    <t>2026-02-15 الأحد</t>
  </si>
  <si>
    <t>2026-02-16 الاثنين</t>
  </si>
  <si>
    <t>2026-02-17 الثلاثاء</t>
  </si>
  <si>
    <t>2026-02-18 الأربعاء</t>
  </si>
  <si>
    <t>محمد محمد شرف
(01032029140)</t>
  </si>
  <si>
    <t>2026-02-19 الخميس</t>
  </si>
  <si>
    <t>Hazem el zahry
(01103953859)</t>
  </si>
  <si>
    <t>شاذلي مصطفي شاذلي رشيدي
(01023535267)</t>
  </si>
  <si>
    <t>شاذلى مصطفى الشاذلى 2
(01023535267)</t>
  </si>
  <si>
    <t>2026-02-20 الجمعة</t>
  </si>
  <si>
    <t>2026-02-21 السبت</t>
  </si>
  <si>
    <t>2026-02-22 الأحد</t>
  </si>
  <si>
    <t>2026-02-23 الاثنين</t>
  </si>
  <si>
    <t>2026-02-24 الثلاثاء</t>
  </si>
  <si>
    <t>2026-02-25 الأربعاء</t>
  </si>
  <si>
    <t>2026-02-26 الخميس</t>
  </si>
  <si>
    <t>2026-02-27 الجمعة</t>
  </si>
  <si>
    <t>ناتالى 3
(01202965506)</t>
  </si>
  <si>
    <t>حازم الزهرى 2
(01103953859)</t>
  </si>
  <si>
    <t>ناتالى 2
(01202965506)</t>
  </si>
  <si>
    <t>2026-02-28 السبت</t>
  </si>
  <si>
    <t>اليوم</t>
  </si>
  <si>
    <t>الورديات مجمعة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</si>
</sst>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/>
      <name val="Arial"/>
      <scheme val="minor"/>
    </font>
    <font>
      <b/>
      <sz val="11.0"/>
      <color rgb="FFFFFFFF"/>
      <name val="Calibri"/>
    </font>
    <font>
      <u/>
      <sz val="11.0"/>
      <color/>
      <name val="Calibri"/>
    </font>
    <font>
      <sz val="11.0"/>
      <color/>
      <name val="Calibri"/>
    </font>
    <font/>
  </fonts>
  <fills count="3">
    <fill>
      <patternFill patternType="none"/>
    </fill>
    <fill>
      <patternFill patternType="lightGray"/>
    </fill>
    <fill>
      <patternFill patternType="solid">
        <fgColor rgb="FF1E60A1"/>
        <bgColor rgb="FF1E60A1"/>
      </patternFill>
    </fill>
  </fills>
  <borders count="6">
    <border/>
    <border>
      <left style="thin">
        <color rgb="FFD2DFEC"/>
      </left>
      <right style="thin">
        <color rgb="FFD2DFEC"/>
      </right>
      <top style="thin">
        <color rgb="FFD2DFEC"/>
      </top>
      <bottom style="thin">
        <color rgb="FFD2DFEC"/>
      </bottom>
    </border>
    <border>
      <left style="thin">
        <color rgb="FFD2DFEC"/>
      </left>
      <right style="thin">
        <color rgb="FFD2DFEC"/>
      </right>
      <top style="thin">
        <color rgb="FFD2DFEC"/>
      </top>
    </border>
    <border>
      <left style="thin">
        <color rgb="FFD2DFEC"/>
      </left>
      <right style="thin">
        <color rgb="FFD2DFEC"/>
      </right>
    </border>
    <border>
      <left style="thin">
        <color rgb="FFD2DFEC"/>
      </left>
      <right style="thin">
        <color rgb="FFD2DFEC"/>
      </right>
      <bottom style="thin">
        <color rgb="FFD2DFEC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2" shrinkToFit="0" vertical="top" wrapText="1"/>
    </xf>
    <xf borderId="1" fillId="2" fontId="1" numFmtId="0" xfId="0" applyAlignment="1" applyBorder="1" applyFont="1">
      <alignment horizontal="center" readingOrder="2" shrinkToFit="0" wrapText="1"/>
    </xf>
    <xf borderId="0" fillId="0" fontId="2" numFmtId="0" xfId="0" applyAlignment="1" applyFont="1">
      <alignment horizontal="center" readingOrder="2" vertical="top"/>
    </xf>
    <xf borderId="2" fillId="2" fontId="1" numFmtId="0" xfId="0" applyAlignment="1" applyBorder="1" applyFont="1">
      <alignment horizontal="center" readingOrder="2" shrinkToFit="0" vertical="top" wrapText="1"/>
    </xf>
    <xf borderId="1" fillId="0" fontId="3" numFmtId="0" xfId="0" applyAlignment="1" applyBorder="1" applyFont="1">
      <alignment horizontal="right" readingOrder="2" shrinkToFit="0" vertical="top" wrapText="1"/>
    </xf>
    <xf borderId="3" fillId="0" fontId="4" numFmtId="0" xfId="0" applyBorder="1" applyFont="1"/>
    <xf borderId="4" fillId="0" fontId="4" numFmtId="0" xfId="0" applyBorder="1" applyFont="1"/>
    <xf borderId="5" fillId="0" fontId="3" numFmtId="0" xfId="0" applyAlignment="1" applyBorder="1" applyFont="1">
      <alignment horizontal="right" readingOrder="2" shrinkToFit="0" vertical="top" wrapText="1"/>
    </xf>
  </cellXfs>
  <cellStyles count="1">
    <cellStyle xfId="0" name="Normal" builtinId="0"/>
  </cellStyles>
  <dxfs count="1"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2.71"/>
    <col customWidth="1" min="2" max="21" width="22.71"/>
    <col customWidth="1" min="22" max="22" width="16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16</v>
      </c>
      <c r="S1" s="2" t="s">
        <v>17</v>
      </c>
      <c r="T1" s="2" t="s">
        <v>17</v>
      </c>
      <c r="U1" s="2" t="s">
        <v>18</v>
      </c>
      <c r="V1" s="3"/>
    </row>
    <row r="2">
      <c r="A2" s="4" t="s">
        <v>19</v>
      </c>
      <c r="B2" s="5" t="s">
        <v>20</v>
      </c>
      <c r="C2" s="5" t="s">
        <v>20</v>
      </c>
      <c r="D2" s="5" t="s">
        <v>20</v>
      </c>
      <c r="E2" s="5" t="s">
        <v>20</v>
      </c>
      <c r="F2" s="5" t="s">
        <v>20</v>
      </c>
      <c r="G2" s="5" t="s">
        <v>20</v>
      </c>
      <c r="H2" s="5" t="s">
        <v>20</v>
      </c>
      <c r="I2" s="5" t="s">
        <v>20</v>
      </c>
      <c r="J2" s="5" t="s">
        <v>20</v>
      </c>
      <c r="K2" s="5" t="s">
        <v>20</v>
      </c>
      <c r="L2" s="5" t="s">
        <v>20</v>
      </c>
      <c r="M2" s="5" t="s">
        <v>20</v>
      </c>
      <c r="N2" s="5" t="s">
        <v>20</v>
      </c>
      <c r="O2" s="5" t="s">
        <v>20</v>
      </c>
      <c r="P2" s="5" t="s">
        <v>20</v>
      </c>
      <c r="Q2" s="5" t="s">
        <v>21</v>
      </c>
      <c r="R2" s="5" t="s">
        <v>20</v>
      </c>
      <c r="S2" s="5" t="s">
        <v>22</v>
      </c>
      <c r="T2" s="5" t="s">
        <v>20</v>
      </c>
      <c r="U2" s="5" t="s">
        <v>23</v>
      </c>
      <c r="V2" s="3" t="str">
        <f>HYPERLINK("#مجمع!B" &amp; 1, "ورديات اليوم مجمعة")</f>
        <v>ورديات اليوم مجمعة</v>
      </c>
    </row>
    <row r="3">
      <c r="A3" s="6"/>
      <c r="B3" s="5" t="s">
        <v>20</v>
      </c>
      <c r="C3" s="5" t="s">
        <v>20</v>
      </c>
      <c r="D3" s="5" t="s">
        <v>20</v>
      </c>
      <c r="E3" s="5" t="s">
        <v>20</v>
      </c>
      <c r="F3" s="5" t="s">
        <v>20</v>
      </c>
      <c r="G3" s="5" t="s">
        <v>20</v>
      </c>
      <c r="H3" s="5" t="s">
        <v>20</v>
      </c>
      <c r="I3" s="5" t="s">
        <v>20</v>
      </c>
      <c r="J3" s="5" t="s">
        <v>20</v>
      </c>
      <c r="K3" s="5" t="s">
        <v>20</v>
      </c>
      <c r="L3" s="5" t="s">
        <v>20</v>
      </c>
      <c r="M3" s="5" t="s">
        <v>20</v>
      </c>
      <c r="N3" s="5" t="s">
        <v>20</v>
      </c>
      <c r="O3" s="5" t="s">
        <v>20</v>
      </c>
      <c r="P3" s="5" t="s">
        <v>20</v>
      </c>
      <c r="Q3" s="5" t="s">
        <v>24</v>
      </c>
      <c r="R3" s="5" t="s">
        <v>20</v>
      </c>
      <c r="S3" s="5" t="s">
        <v>25</v>
      </c>
      <c r="T3" s="5" t="s">
        <v>20</v>
      </c>
      <c r="U3" s="5" t="s">
        <v>26</v>
      </c>
      <c r="V3" s="3"/>
    </row>
    <row r="4">
      <c r="A4" s="6"/>
      <c r="B4" s="5" t="s">
        <v>20</v>
      </c>
      <c r="C4" s="5" t="s">
        <v>20</v>
      </c>
      <c r="D4" s="5" t="s">
        <v>20</v>
      </c>
      <c r="E4" s="5" t="s">
        <v>20</v>
      </c>
      <c r="F4" s="5" t="s">
        <v>20</v>
      </c>
      <c r="G4" s="5" t="s">
        <v>20</v>
      </c>
      <c r="H4" s="5" t="s">
        <v>20</v>
      </c>
      <c r="I4" s="5" t="s">
        <v>20</v>
      </c>
      <c r="J4" s="5" t="s">
        <v>20</v>
      </c>
      <c r="K4" s="5" t="s">
        <v>20</v>
      </c>
      <c r="L4" s="5" t="s">
        <v>20</v>
      </c>
      <c r="M4" s="5" t="s">
        <v>20</v>
      </c>
      <c r="N4" s="5" t="s">
        <v>20</v>
      </c>
      <c r="O4" s="5" t="s">
        <v>20</v>
      </c>
      <c r="P4" s="5" t="s">
        <v>20</v>
      </c>
      <c r="Q4" s="5" t="s">
        <v>27</v>
      </c>
      <c r="R4" s="5" t="s">
        <v>20</v>
      </c>
      <c r="S4" s="5" t="s">
        <v>28</v>
      </c>
      <c r="T4" s="5" t="s">
        <v>20</v>
      </c>
      <c r="U4" s="5" t="s">
        <v>20</v>
      </c>
      <c r="V4" s="3"/>
    </row>
    <row r="5">
      <c r="A5" s="7"/>
      <c r="B5" s="8" t="s">
        <v>20</v>
      </c>
      <c r="C5" s="8" t="s">
        <v>20</v>
      </c>
      <c r="D5" s="8" t="s">
        <v>20</v>
      </c>
      <c r="E5" s="8" t="s">
        <v>20</v>
      </c>
      <c r="F5" s="8" t="s">
        <v>20</v>
      </c>
      <c r="G5" s="8" t="s">
        <v>20</v>
      </c>
      <c r="H5" s="8" t="s">
        <v>20</v>
      </c>
      <c r="I5" s="8" t="s">
        <v>20</v>
      </c>
      <c r="J5" s="8" t="s">
        <v>20</v>
      </c>
      <c r="K5" s="8" t="s">
        <v>20</v>
      </c>
      <c r="L5" s="8" t="s">
        <v>20</v>
      </c>
      <c r="M5" s="8" t="s">
        <v>20</v>
      </c>
      <c r="N5" s="8" t="s">
        <v>20</v>
      </c>
      <c r="O5" s="8" t="s">
        <v>20</v>
      </c>
      <c r="P5" s="8" t="s">
        <v>20</v>
      </c>
      <c r="Q5" s="8" t="s">
        <v>29</v>
      </c>
      <c r="R5" s="8" t="s">
        <v>20</v>
      </c>
      <c r="S5" s="8" t="s">
        <v>20</v>
      </c>
      <c r="T5" s="8" t="s">
        <v>20</v>
      </c>
      <c r="U5" s="8" t="s">
        <v>20</v>
      </c>
      <c r="V5" s="3"/>
    </row>
    <row r="6">
      <c r="A6" s="4" t="s">
        <v>30</v>
      </c>
      <c r="B6" s="5" t="s">
        <v>20</v>
      </c>
      <c r="C6" s="5" t="s">
        <v>20</v>
      </c>
      <c r="D6" s="5" t="s">
        <v>20</v>
      </c>
      <c r="E6" s="5" t="s">
        <v>20</v>
      </c>
      <c r="F6" s="5" t="s">
        <v>20</v>
      </c>
      <c r="G6" s="5" t="s">
        <v>20</v>
      </c>
      <c r="H6" s="5" t="s">
        <v>20</v>
      </c>
      <c r="I6" s="5" t="s">
        <v>20</v>
      </c>
      <c r="J6" s="5" t="s">
        <v>20</v>
      </c>
      <c r="K6" s="5" t="s">
        <v>20</v>
      </c>
      <c r="L6" s="5" t="s">
        <v>20</v>
      </c>
      <c r="M6" s="5" t="s">
        <v>20</v>
      </c>
      <c r="N6" s="5" t="s">
        <v>20</v>
      </c>
      <c r="O6" s="5" t="s">
        <v>20</v>
      </c>
      <c r="P6" s="5" t="s">
        <v>20</v>
      </c>
      <c r="Q6" s="5" t="s">
        <v>31</v>
      </c>
      <c r="R6" s="5" t="s">
        <v>20</v>
      </c>
      <c r="S6" s="5" t="s">
        <v>32</v>
      </c>
      <c r="T6" s="5" t="s">
        <v>20</v>
      </c>
      <c r="U6" s="5" t="s">
        <v>33</v>
      </c>
      <c r="V6" s="3" t="str">
        <f>HYPERLINK("#مجمع!B" &amp; 2, "ورديات اليوم مجمعة")</f>
        <v>ورديات اليوم مجمعة</v>
      </c>
    </row>
    <row r="7">
      <c r="A7" s="6"/>
      <c r="B7" s="5" t="s">
        <v>20</v>
      </c>
      <c r="C7" s="5" t="s">
        <v>20</v>
      </c>
      <c r="D7" s="5" t="s">
        <v>20</v>
      </c>
      <c r="E7" s="5" t="s">
        <v>20</v>
      </c>
      <c r="F7" s="5" t="s">
        <v>20</v>
      </c>
      <c r="G7" s="5" t="s">
        <v>20</v>
      </c>
      <c r="H7" s="5" t="s">
        <v>20</v>
      </c>
      <c r="I7" s="5" t="s">
        <v>20</v>
      </c>
      <c r="J7" s="5" t="s">
        <v>20</v>
      </c>
      <c r="K7" s="5" t="s">
        <v>20</v>
      </c>
      <c r="L7" s="5" t="s">
        <v>20</v>
      </c>
      <c r="M7" s="5" t="s">
        <v>20</v>
      </c>
      <c r="N7" s="5" t="s">
        <v>20</v>
      </c>
      <c r="O7" s="5" t="s">
        <v>20</v>
      </c>
      <c r="P7" s="5" t="s">
        <v>20</v>
      </c>
      <c r="Q7" s="5" t="s">
        <v>34</v>
      </c>
      <c r="R7" s="5" t="s">
        <v>20</v>
      </c>
      <c r="S7" s="5" t="s">
        <v>35</v>
      </c>
      <c r="T7" s="5" t="s">
        <v>20</v>
      </c>
      <c r="U7" s="5" t="s">
        <v>36</v>
      </c>
      <c r="V7" s="3"/>
    </row>
    <row r="8">
      <c r="A8" s="6"/>
      <c r="B8" s="5" t="s">
        <v>20</v>
      </c>
      <c r="C8" s="5" t="s">
        <v>20</v>
      </c>
      <c r="D8" s="5" t="s">
        <v>20</v>
      </c>
      <c r="E8" s="5" t="s">
        <v>20</v>
      </c>
      <c r="F8" s="5" t="s">
        <v>20</v>
      </c>
      <c r="G8" s="5" t="s">
        <v>20</v>
      </c>
      <c r="H8" s="5" t="s">
        <v>20</v>
      </c>
      <c r="I8" s="5" t="s">
        <v>20</v>
      </c>
      <c r="J8" s="5" t="s">
        <v>20</v>
      </c>
      <c r="K8" s="5" t="s">
        <v>20</v>
      </c>
      <c r="L8" s="5" t="s">
        <v>20</v>
      </c>
      <c r="M8" s="5" t="s">
        <v>20</v>
      </c>
      <c r="N8" s="5" t="s">
        <v>20</v>
      </c>
      <c r="O8" s="5" t="s">
        <v>20</v>
      </c>
      <c r="P8" s="5" t="s">
        <v>20</v>
      </c>
      <c r="Q8" s="5" t="s">
        <v>37</v>
      </c>
      <c r="R8" s="5" t="s">
        <v>20</v>
      </c>
      <c r="S8" s="5" t="s">
        <v>38</v>
      </c>
      <c r="T8" s="5" t="s">
        <v>20</v>
      </c>
      <c r="U8" s="5" t="s">
        <v>20</v>
      </c>
      <c r="V8" s="3"/>
    </row>
    <row r="9">
      <c r="A9" s="7"/>
      <c r="B9" s="8" t="s">
        <v>20</v>
      </c>
      <c r="C9" s="8" t="s">
        <v>20</v>
      </c>
      <c r="D9" s="8" t="s">
        <v>20</v>
      </c>
      <c r="E9" s="8" t="s">
        <v>20</v>
      </c>
      <c r="F9" s="8" t="s">
        <v>20</v>
      </c>
      <c r="G9" s="8" t="s">
        <v>20</v>
      </c>
      <c r="H9" s="8" t="s">
        <v>20</v>
      </c>
      <c r="I9" s="8" t="s">
        <v>20</v>
      </c>
      <c r="J9" s="8" t="s">
        <v>20</v>
      </c>
      <c r="K9" s="8" t="s">
        <v>20</v>
      </c>
      <c r="L9" s="8" t="s">
        <v>20</v>
      </c>
      <c r="M9" s="8" t="s">
        <v>20</v>
      </c>
      <c r="N9" s="8" t="s">
        <v>20</v>
      </c>
      <c r="O9" s="8" t="s">
        <v>20</v>
      </c>
      <c r="P9" s="8" t="s">
        <v>20</v>
      </c>
      <c r="Q9" s="8" t="s">
        <v>39</v>
      </c>
      <c r="R9" s="8" t="s">
        <v>20</v>
      </c>
      <c r="S9" s="8" t="s">
        <v>20</v>
      </c>
      <c r="T9" s="8" t="s">
        <v>20</v>
      </c>
      <c r="U9" s="8" t="s">
        <v>20</v>
      </c>
      <c r="V9" s="3"/>
    </row>
    <row r="10">
      <c r="A10" s="4" t="s">
        <v>40</v>
      </c>
      <c r="B10" s="5" t="s">
        <v>20</v>
      </c>
      <c r="C10" s="5" t="s">
        <v>20</v>
      </c>
      <c r="D10" s="5" t="s">
        <v>20</v>
      </c>
      <c r="E10" s="5" t="s">
        <v>20</v>
      </c>
      <c r="F10" s="5" t="s">
        <v>20</v>
      </c>
      <c r="G10" s="5" t="s">
        <v>20</v>
      </c>
      <c r="H10" s="5" t="s">
        <v>20</v>
      </c>
      <c r="I10" s="5" t="s">
        <v>20</v>
      </c>
      <c r="J10" s="5" t="s">
        <v>20</v>
      </c>
      <c r="K10" s="5" t="s">
        <v>20</v>
      </c>
      <c r="L10" s="5" t="s">
        <v>20</v>
      </c>
      <c r="M10" s="5" t="s">
        <v>20</v>
      </c>
      <c r="N10" s="5" t="s">
        <v>20</v>
      </c>
      <c r="O10" s="5" t="s">
        <v>20</v>
      </c>
      <c r="P10" s="5" t="s">
        <v>41</v>
      </c>
      <c r="Q10" s="5" t="s">
        <v>42</v>
      </c>
      <c r="R10" s="5" t="s">
        <v>20</v>
      </c>
      <c r="S10" s="5" t="s">
        <v>36</v>
      </c>
      <c r="T10" s="5" t="s">
        <v>20</v>
      </c>
      <c r="U10" s="5" t="s">
        <v>20</v>
      </c>
      <c r="V10" s="3" t="str">
        <f>HYPERLINK("#مجمع!B" &amp; 3, "ورديات اليوم مجمعة")</f>
        <v>ورديات اليوم مجمعة</v>
      </c>
    </row>
    <row r="11">
      <c r="A11" s="6"/>
      <c r="B11" s="5" t="s">
        <v>20</v>
      </c>
      <c r="C11" s="5" t="s">
        <v>20</v>
      </c>
      <c r="D11" s="5" t="s">
        <v>20</v>
      </c>
      <c r="E11" s="5" t="s">
        <v>20</v>
      </c>
      <c r="F11" s="5" t="s">
        <v>20</v>
      </c>
      <c r="G11" s="5" t="s">
        <v>20</v>
      </c>
      <c r="H11" s="5" t="s">
        <v>20</v>
      </c>
      <c r="I11" s="5" t="s">
        <v>20</v>
      </c>
      <c r="J11" s="5" t="s">
        <v>20</v>
      </c>
      <c r="K11" s="5" t="s">
        <v>20</v>
      </c>
      <c r="L11" s="5" t="s">
        <v>20</v>
      </c>
      <c r="M11" s="5" t="s">
        <v>20</v>
      </c>
      <c r="N11" s="5" t="s">
        <v>20</v>
      </c>
      <c r="O11" s="5" t="s">
        <v>20</v>
      </c>
      <c r="P11" s="5" t="s">
        <v>22</v>
      </c>
      <c r="Q11" s="5" t="s">
        <v>43</v>
      </c>
      <c r="R11" s="5" t="s">
        <v>20</v>
      </c>
      <c r="S11" s="5" t="s">
        <v>44</v>
      </c>
      <c r="T11" s="5" t="s">
        <v>20</v>
      </c>
      <c r="U11" s="5" t="s">
        <v>20</v>
      </c>
      <c r="V11" s="3"/>
    </row>
    <row r="12">
      <c r="A12" s="7"/>
      <c r="B12" s="8" t="s">
        <v>20</v>
      </c>
      <c r="C12" s="8" t="s">
        <v>20</v>
      </c>
      <c r="D12" s="8" t="s">
        <v>20</v>
      </c>
      <c r="E12" s="8" t="s">
        <v>20</v>
      </c>
      <c r="F12" s="8" t="s">
        <v>20</v>
      </c>
      <c r="G12" s="8" t="s">
        <v>20</v>
      </c>
      <c r="H12" s="8" t="s">
        <v>20</v>
      </c>
      <c r="I12" s="8" t="s">
        <v>20</v>
      </c>
      <c r="J12" s="8" t="s">
        <v>20</v>
      </c>
      <c r="K12" s="8" t="s">
        <v>20</v>
      </c>
      <c r="L12" s="8" t="s">
        <v>20</v>
      </c>
      <c r="M12" s="8" t="s">
        <v>20</v>
      </c>
      <c r="N12" s="8" t="s">
        <v>20</v>
      </c>
      <c r="O12" s="8" t="s">
        <v>20</v>
      </c>
      <c r="P12" s="8" t="s">
        <v>20</v>
      </c>
      <c r="Q12" s="8" t="s">
        <v>45</v>
      </c>
      <c r="R12" s="8" t="s">
        <v>20</v>
      </c>
      <c r="S12" s="8" t="s">
        <v>20</v>
      </c>
      <c r="T12" s="8" t="s">
        <v>20</v>
      </c>
      <c r="U12" s="8" t="s">
        <v>20</v>
      </c>
      <c r="V12" s="3"/>
    </row>
    <row r="13">
      <c r="A13" s="4" t="s">
        <v>46</v>
      </c>
      <c r="B13" s="5" t="s">
        <v>47</v>
      </c>
      <c r="C13" s="5" t="s">
        <v>48</v>
      </c>
      <c r="D13" s="5" t="s">
        <v>38</v>
      </c>
      <c r="E13" s="5" t="s">
        <v>49</v>
      </c>
      <c r="F13" s="5" t="s">
        <v>39</v>
      </c>
      <c r="G13" s="5" t="s">
        <v>21</v>
      </c>
      <c r="H13" s="5" t="s">
        <v>27</v>
      </c>
      <c r="I13" s="5" t="s">
        <v>41</v>
      </c>
      <c r="J13" s="5" t="s">
        <v>50</v>
      </c>
      <c r="K13" s="5" t="s">
        <v>51</v>
      </c>
      <c r="L13" s="5" t="s">
        <v>52</v>
      </c>
      <c r="M13" s="5" t="s">
        <v>24</v>
      </c>
      <c r="N13" s="5" t="s">
        <v>35</v>
      </c>
      <c r="O13" s="5" t="s">
        <v>53</v>
      </c>
      <c r="P13" s="5" t="s">
        <v>20</v>
      </c>
      <c r="Q13" s="5" t="s">
        <v>20</v>
      </c>
      <c r="R13" s="5" t="s">
        <v>20</v>
      </c>
      <c r="S13" s="5" t="s">
        <v>20</v>
      </c>
      <c r="T13" s="5" t="s">
        <v>20</v>
      </c>
      <c r="U13" s="5" t="s">
        <v>20</v>
      </c>
      <c r="V13" s="3" t="str">
        <f>HYPERLINK("#مجمع!B" &amp; 4, "ورديات اليوم مجمعة")</f>
        <v>ورديات اليوم مجمعة</v>
      </c>
    </row>
    <row r="14">
      <c r="A14" s="6"/>
      <c r="B14" s="5" t="s">
        <v>20</v>
      </c>
      <c r="C14" s="5" t="s">
        <v>20</v>
      </c>
      <c r="D14" s="5" t="s">
        <v>20</v>
      </c>
      <c r="E14" s="5" t="s">
        <v>20</v>
      </c>
      <c r="F14" s="5" t="s">
        <v>20</v>
      </c>
      <c r="G14" s="5" t="s">
        <v>20</v>
      </c>
      <c r="H14" s="5" t="s">
        <v>54</v>
      </c>
      <c r="I14" s="5" t="s">
        <v>55</v>
      </c>
      <c r="J14" s="5" t="s">
        <v>20</v>
      </c>
      <c r="K14" s="5" t="s">
        <v>20</v>
      </c>
      <c r="L14" s="5" t="s">
        <v>34</v>
      </c>
      <c r="M14" s="5" t="s">
        <v>56</v>
      </c>
      <c r="N14" s="5" t="s">
        <v>57</v>
      </c>
      <c r="O14" s="5" t="s">
        <v>58</v>
      </c>
      <c r="P14" s="5" t="s">
        <v>20</v>
      </c>
      <c r="Q14" s="5" t="s">
        <v>20</v>
      </c>
      <c r="R14" s="5" t="s">
        <v>20</v>
      </c>
      <c r="S14" s="5" t="s">
        <v>20</v>
      </c>
      <c r="T14" s="5" t="s">
        <v>20</v>
      </c>
      <c r="U14" s="5" t="s">
        <v>20</v>
      </c>
      <c r="V14" s="3"/>
    </row>
    <row r="15">
      <c r="A15" s="6"/>
      <c r="B15" s="5" t="s">
        <v>20</v>
      </c>
      <c r="C15" s="5" t="s">
        <v>20</v>
      </c>
      <c r="D15" s="5" t="s">
        <v>20</v>
      </c>
      <c r="E15" s="5" t="s">
        <v>20</v>
      </c>
      <c r="F15" s="5" t="s">
        <v>20</v>
      </c>
      <c r="G15" s="5" t="s">
        <v>20</v>
      </c>
      <c r="H15" s="5" t="s">
        <v>29</v>
      </c>
      <c r="I15" s="5" t="s">
        <v>59</v>
      </c>
      <c r="J15" s="5" t="s">
        <v>20</v>
      </c>
      <c r="K15" s="5" t="s">
        <v>20</v>
      </c>
      <c r="L15" s="5" t="s">
        <v>60</v>
      </c>
      <c r="M15" s="5" t="s">
        <v>61</v>
      </c>
      <c r="N15" s="5" t="s">
        <v>62</v>
      </c>
      <c r="O15" s="5" t="s">
        <v>22</v>
      </c>
      <c r="P15" s="5" t="s">
        <v>20</v>
      </c>
      <c r="Q15" s="5" t="s">
        <v>20</v>
      </c>
      <c r="R15" s="5" t="s">
        <v>20</v>
      </c>
      <c r="S15" s="5" t="s">
        <v>20</v>
      </c>
      <c r="T15" s="5" t="s">
        <v>20</v>
      </c>
      <c r="U15" s="5" t="s">
        <v>20</v>
      </c>
      <c r="V15" s="3"/>
    </row>
    <row r="16">
      <c r="A16" s="6"/>
      <c r="B16" s="5" t="s">
        <v>20</v>
      </c>
      <c r="C16" s="5" t="s">
        <v>20</v>
      </c>
      <c r="D16" s="5" t="s">
        <v>20</v>
      </c>
      <c r="E16" s="5" t="s">
        <v>20</v>
      </c>
      <c r="F16" s="5" t="s">
        <v>20</v>
      </c>
      <c r="G16" s="5" t="s">
        <v>20</v>
      </c>
      <c r="H16" s="5" t="s">
        <v>63</v>
      </c>
      <c r="I16" s="5" t="s">
        <v>64</v>
      </c>
      <c r="J16" s="5" t="s">
        <v>20</v>
      </c>
      <c r="K16" s="5" t="s">
        <v>20</v>
      </c>
      <c r="L16" s="5" t="s">
        <v>65</v>
      </c>
      <c r="M16" s="5" t="s">
        <v>66</v>
      </c>
      <c r="N16" s="5" t="s">
        <v>23</v>
      </c>
      <c r="O16" s="5" t="s">
        <v>67</v>
      </c>
      <c r="P16" s="5" t="s">
        <v>20</v>
      </c>
      <c r="Q16" s="5" t="s">
        <v>20</v>
      </c>
      <c r="R16" s="5" t="s">
        <v>20</v>
      </c>
      <c r="S16" s="5" t="s">
        <v>20</v>
      </c>
      <c r="T16" s="5" t="s">
        <v>20</v>
      </c>
      <c r="U16" s="5" t="s">
        <v>20</v>
      </c>
      <c r="V16" s="3"/>
    </row>
    <row r="17">
      <c r="A17" s="6"/>
      <c r="B17" s="5" t="s">
        <v>20</v>
      </c>
      <c r="C17" s="5" t="s">
        <v>20</v>
      </c>
      <c r="D17" s="5" t="s">
        <v>20</v>
      </c>
      <c r="E17" s="5" t="s">
        <v>20</v>
      </c>
      <c r="F17" s="5" t="s">
        <v>20</v>
      </c>
      <c r="G17" s="5" t="s">
        <v>20</v>
      </c>
      <c r="H17" s="5" t="s">
        <v>68</v>
      </c>
      <c r="I17" s="5" t="s">
        <v>69</v>
      </c>
      <c r="J17" s="5" t="s">
        <v>20</v>
      </c>
      <c r="K17" s="5" t="s">
        <v>20</v>
      </c>
      <c r="L17" s="5" t="s">
        <v>70</v>
      </c>
      <c r="M17" s="5" t="s">
        <v>37</v>
      </c>
      <c r="N17" s="5" t="s">
        <v>20</v>
      </c>
      <c r="O17" s="5" t="s">
        <v>20</v>
      </c>
      <c r="P17" s="5" t="s">
        <v>20</v>
      </c>
      <c r="Q17" s="5" t="s">
        <v>20</v>
      </c>
      <c r="R17" s="5" t="s">
        <v>20</v>
      </c>
      <c r="S17" s="5" t="s">
        <v>20</v>
      </c>
      <c r="T17" s="5" t="s">
        <v>20</v>
      </c>
      <c r="U17" s="5" t="s">
        <v>20</v>
      </c>
      <c r="V17" s="3"/>
    </row>
    <row r="18">
      <c r="A18" s="6"/>
      <c r="B18" s="5" t="s">
        <v>20</v>
      </c>
      <c r="C18" s="5" t="s">
        <v>20</v>
      </c>
      <c r="D18" s="5" t="s">
        <v>20</v>
      </c>
      <c r="E18" s="5" t="s">
        <v>20</v>
      </c>
      <c r="F18" s="5" t="s">
        <v>20</v>
      </c>
      <c r="G18" s="5" t="s">
        <v>20</v>
      </c>
      <c r="H18" s="5" t="s">
        <v>26</v>
      </c>
      <c r="I18" s="5" t="s">
        <v>25</v>
      </c>
      <c r="J18" s="5" t="s">
        <v>20</v>
      </c>
      <c r="K18" s="5" t="s">
        <v>20</v>
      </c>
      <c r="L18" s="5" t="s">
        <v>28</v>
      </c>
      <c r="M18" s="5" t="s">
        <v>36</v>
      </c>
      <c r="N18" s="5" t="s">
        <v>20</v>
      </c>
      <c r="O18" s="5" t="s">
        <v>20</v>
      </c>
      <c r="P18" s="5" t="s">
        <v>20</v>
      </c>
      <c r="Q18" s="5" t="s">
        <v>20</v>
      </c>
      <c r="R18" s="5" t="s">
        <v>20</v>
      </c>
      <c r="S18" s="5" t="s">
        <v>20</v>
      </c>
      <c r="T18" s="5" t="s">
        <v>20</v>
      </c>
      <c r="U18" s="5" t="s">
        <v>20</v>
      </c>
      <c r="V18" s="3"/>
    </row>
    <row r="19">
      <c r="A19" s="6"/>
      <c r="B19" s="5" t="s">
        <v>20</v>
      </c>
      <c r="C19" s="5" t="s">
        <v>20</v>
      </c>
      <c r="D19" s="5" t="s">
        <v>20</v>
      </c>
      <c r="E19" s="5" t="s">
        <v>20</v>
      </c>
      <c r="F19" s="5" t="s">
        <v>20</v>
      </c>
      <c r="G19" s="5" t="s">
        <v>20</v>
      </c>
      <c r="H19" s="5" t="s">
        <v>71</v>
      </c>
      <c r="I19" s="5" t="s">
        <v>72</v>
      </c>
      <c r="J19" s="5" t="s">
        <v>20</v>
      </c>
      <c r="K19" s="5" t="s">
        <v>20</v>
      </c>
      <c r="L19" s="5" t="s">
        <v>73</v>
      </c>
      <c r="M19" s="5" t="s">
        <v>31</v>
      </c>
      <c r="N19" s="5" t="s">
        <v>20</v>
      </c>
      <c r="O19" s="5" t="s">
        <v>20</v>
      </c>
      <c r="P19" s="5" t="s">
        <v>20</v>
      </c>
      <c r="Q19" s="5" t="s">
        <v>20</v>
      </c>
      <c r="R19" s="5" t="s">
        <v>20</v>
      </c>
      <c r="S19" s="5" t="s">
        <v>20</v>
      </c>
      <c r="T19" s="5" t="s">
        <v>20</v>
      </c>
      <c r="U19" s="5" t="s">
        <v>20</v>
      </c>
      <c r="V19" s="3"/>
    </row>
    <row r="20">
      <c r="A20" s="7"/>
      <c r="B20" s="8" t="s">
        <v>20</v>
      </c>
      <c r="C20" s="8" t="s">
        <v>20</v>
      </c>
      <c r="D20" s="8" t="s">
        <v>20</v>
      </c>
      <c r="E20" s="8" t="s">
        <v>20</v>
      </c>
      <c r="F20" s="8" t="s">
        <v>20</v>
      </c>
      <c r="G20" s="8" t="s">
        <v>20</v>
      </c>
      <c r="H20" s="8" t="s">
        <v>74</v>
      </c>
      <c r="I20" s="8" t="s">
        <v>75</v>
      </c>
      <c r="J20" s="8" t="s">
        <v>20</v>
      </c>
      <c r="K20" s="8" t="s">
        <v>20</v>
      </c>
      <c r="L20" s="8" t="s">
        <v>20</v>
      </c>
      <c r="M20" s="8" t="s">
        <v>20</v>
      </c>
      <c r="N20" s="8" t="s">
        <v>20</v>
      </c>
      <c r="O20" s="8" t="s">
        <v>20</v>
      </c>
      <c r="P20" s="8" t="s">
        <v>20</v>
      </c>
      <c r="Q20" s="8" t="s">
        <v>20</v>
      </c>
      <c r="R20" s="8" t="s">
        <v>20</v>
      </c>
      <c r="S20" s="8" t="s">
        <v>20</v>
      </c>
      <c r="T20" s="8" t="s">
        <v>20</v>
      </c>
      <c r="U20" s="8" t="s">
        <v>20</v>
      </c>
      <c r="V20" s="3"/>
    </row>
    <row r="21" ht="15.75" customHeight="1">
      <c r="A21" s="4" t="s">
        <v>76</v>
      </c>
      <c r="B21" s="5" t="s">
        <v>20</v>
      </c>
      <c r="C21" s="5" t="s">
        <v>20</v>
      </c>
      <c r="D21" s="5" t="s">
        <v>20</v>
      </c>
      <c r="E21" s="5" t="s">
        <v>20</v>
      </c>
      <c r="F21" s="5" t="s">
        <v>20</v>
      </c>
      <c r="G21" s="5" t="s">
        <v>20</v>
      </c>
      <c r="H21" s="5" t="s">
        <v>20</v>
      </c>
      <c r="I21" s="5" t="s">
        <v>20</v>
      </c>
      <c r="J21" s="5" t="s">
        <v>20</v>
      </c>
      <c r="K21" s="5" t="s">
        <v>20</v>
      </c>
      <c r="L21" s="5" t="s">
        <v>20</v>
      </c>
      <c r="M21" s="5" t="s">
        <v>20</v>
      </c>
      <c r="N21" s="5" t="s">
        <v>20</v>
      </c>
      <c r="O21" s="5" t="s">
        <v>20</v>
      </c>
      <c r="P21" s="5" t="s">
        <v>20</v>
      </c>
      <c r="Q21" s="5" t="s">
        <v>71</v>
      </c>
      <c r="R21" s="5" t="s">
        <v>20</v>
      </c>
      <c r="S21" s="5" t="s">
        <v>77</v>
      </c>
      <c r="T21" s="5" t="s">
        <v>20</v>
      </c>
      <c r="U21" s="5" t="s">
        <v>20</v>
      </c>
      <c r="V21" s="3" t="str">
        <f>HYPERLINK("#مجمع!B" &amp; 5, "ورديات اليوم مجمعة")</f>
        <v>ورديات اليوم مجمعة</v>
      </c>
    </row>
    <row r="22" ht="15.75" customHeight="1">
      <c r="A22" s="6"/>
      <c r="B22" s="5" t="s">
        <v>20</v>
      </c>
      <c r="C22" s="5" t="s">
        <v>20</v>
      </c>
      <c r="D22" s="5" t="s">
        <v>20</v>
      </c>
      <c r="E22" s="5" t="s">
        <v>20</v>
      </c>
      <c r="F22" s="5" t="s">
        <v>20</v>
      </c>
      <c r="G22" s="5" t="s">
        <v>20</v>
      </c>
      <c r="H22" s="5" t="s">
        <v>20</v>
      </c>
      <c r="I22" s="5" t="s">
        <v>20</v>
      </c>
      <c r="J22" s="5" t="s">
        <v>20</v>
      </c>
      <c r="K22" s="5" t="s">
        <v>20</v>
      </c>
      <c r="L22" s="5" t="s">
        <v>20</v>
      </c>
      <c r="M22" s="5" t="s">
        <v>20</v>
      </c>
      <c r="N22" s="5" t="s">
        <v>20</v>
      </c>
      <c r="O22" s="5" t="s">
        <v>20</v>
      </c>
      <c r="P22" s="5" t="s">
        <v>20</v>
      </c>
      <c r="Q22" s="5" t="s">
        <v>68</v>
      </c>
      <c r="R22" s="5" t="s">
        <v>20</v>
      </c>
      <c r="S22" s="5" t="s">
        <v>54</v>
      </c>
      <c r="T22" s="5" t="s">
        <v>20</v>
      </c>
      <c r="U22" s="5" t="s">
        <v>20</v>
      </c>
      <c r="V22" s="3"/>
    </row>
    <row r="23" ht="15.75" customHeight="1">
      <c r="A23" s="6"/>
      <c r="B23" s="5" t="s">
        <v>20</v>
      </c>
      <c r="C23" s="5" t="s">
        <v>20</v>
      </c>
      <c r="D23" s="5" t="s">
        <v>20</v>
      </c>
      <c r="E23" s="5" t="s">
        <v>20</v>
      </c>
      <c r="F23" s="5" t="s">
        <v>20</v>
      </c>
      <c r="G23" s="5" t="s">
        <v>20</v>
      </c>
      <c r="H23" s="5" t="s">
        <v>20</v>
      </c>
      <c r="I23" s="5" t="s">
        <v>20</v>
      </c>
      <c r="J23" s="5" t="s">
        <v>20</v>
      </c>
      <c r="K23" s="5" t="s">
        <v>20</v>
      </c>
      <c r="L23" s="5" t="s">
        <v>20</v>
      </c>
      <c r="M23" s="5" t="s">
        <v>20</v>
      </c>
      <c r="N23" s="5" t="s">
        <v>20</v>
      </c>
      <c r="O23" s="5" t="s">
        <v>20</v>
      </c>
      <c r="P23" s="5" t="s">
        <v>20</v>
      </c>
      <c r="Q23" s="5" t="s">
        <v>27</v>
      </c>
      <c r="R23" s="5" t="s">
        <v>20</v>
      </c>
      <c r="S23" s="5" t="s">
        <v>66</v>
      </c>
      <c r="T23" s="5" t="s">
        <v>20</v>
      </c>
      <c r="U23" s="5" t="s">
        <v>20</v>
      </c>
      <c r="V23" s="3"/>
    </row>
    <row r="24" ht="15.75" customHeight="1">
      <c r="A24" s="6"/>
      <c r="B24" s="5" t="s">
        <v>20</v>
      </c>
      <c r="C24" s="5" t="s">
        <v>20</v>
      </c>
      <c r="D24" s="5" t="s">
        <v>20</v>
      </c>
      <c r="E24" s="5" t="s">
        <v>20</v>
      </c>
      <c r="F24" s="5" t="s">
        <v>20</v>
      </c>
      <c r="G24" s="5" t="s">
        <v>20</v>
      </c>
      <c r="H24" s="5" t="s">
        <v>20</v>
      </c>
      <c r="I24" s="5" t="s">
        <v>20</v>
      </c>
      <c r="J24" s="5" t="s">
        <v>20</v>
      </c>
      <c r="K24" s="5" t="s">
        <v>20</v>
      </c>
      <c r="L24" s="5" t="s">
        <v>20</v>
      </c>
      <c r="M24" s="5" t="s">
        <v>20</v>
      </c>
      <c r="N24" s="5" t="s">
        <v>20</v>
      </c>
      <c r="O24" s="5" t="s">
        <v>20</v>
      </c>
      <c r="P24" s="5" t="s">
        <v>20</v>
      </c>
      <c r="Q24" s="5" t="s">
        <v>78</v>
      </c>
      <c r="R24" s="5" t="s">
        <v>20</v>
      </c>
      <c r="S24" s="5" t="s">
        <v>35</v>
      </c>
      <c r="T24" s="5" t="s">
        <v>20</v>
      </c>
      <c r="U24" s="5" t="s">
        <v>20</v>
      </c>
      <c r="V24" s="3"/>
    </row>
    <row r="25" ht="15.75" customHeight="1">
      <c r="A25" s="6"/>
      <c r="B25" s="5" t="s">
        <v>20</v>
      </c>
      <c r="C25" s="5" t="s">
        <v>20</v>
      </c>
      <c r="D25" s="5" t="s">
        <v>20</v>
      </c>
      <c r="E25" s="5" t="s">
        <v>20</v>
      </c>
      <c r="F25" s="5" t="s">
        <v>20</v>
      </c>
      <c r="G25" s="5" t="s">
        <v>20</v>
      </c>
      <c r="H25" s="5" t="s">
        <v>20</v>
      </c>
      <c r="I25" s="5" t="s">
        <v>20</v>
      </c>
      <c r="J25" s="5" t="s">
        <v>20</v>
      </c>
      <c r="K25" s="5" t="s">
        <v>20</v>
      </c>
      <c r="L25" s="5" t="s">
        <v>20</v>
      </c>
      <c r="M25" s="5" t="s">
        <v>20</v>
      </c>
      <c r="N25" s="5" t="s">
        <v>20</v>
      </c>
      <c r="O25" s="5" t="s">
        <v>20</v>
      </c>
      <c r="P25" s="5" t="s">
        <v>20</v>
      </c>
      <c r="Q25" s="5" t="s">
        <v>63</v>
      </c>
      <c r="R25" s="5" t="s">
        <v>20</v>
      </c>
      <c r="S25" s="5" t="s">
        <v>20</v>
      </c>
      <c r="T25" s="5" t="s">
        <v>20</v>
      </c>
      <c r="U25" s="5" t="s">
        <v>20</v>
      </c>
      <c r="V25" s="3"/>
    </row>
    <row r="26" ht="15.75" customHeight="1">
      <c r="A26" s="6"/>
      <c r="B26" s="5" t="s">
        <v>20</v>
      </c>
      <c r="C26" s="5" t="s">
        <v>20</v>
      </c>
      <c r="D26" s="5" t="s">
        <v>20</v>
      </c>
      <c r="E26" s="5" t="s">
        <v>20</v>
      </c>
      <c r="F26" s="5" t="s">
        <v>20</v>
      </c>
      <c r="G26" s="5" t="s">
        <v>20</v>
      </c>
      <c r="H26" s="5" t="s">
        <v>20</v>
      </c>
      <c r="I26" s="5" t="s">
        <v>20</v>
      </c>
      <c r="J26" s="5" t="s">
        <v>20</v>
      </c>
      <c r="K26" s="5" t="s">
        <v>20</v>
      </c>
      <c r="L26" s="5" t="s">
        <v>20</v>
      </c>
      <c r="M26" s="5" t="s">
        <v>20</v>
      </c>
      <c r="N26" s="5" t="s">
        <v>20</v>
      </c>
      <c r="O26" s="5" t="s">
        <v>20</v>
      </c>
      <c r="P26" s="5" t="s">
        <v>20</v>
      </c>
      <c r="Q26" s="5" t="s">
        <v>50</v>
      </c>
      <c r="R26" s="5" t="s">
        <v>20</v>
      </c>
      <c r="S26" s="5" t="s">
        <v>20</v>
      </c>
      <c r="T26" s="5" t="s">
        <v>20</v>
      </c>
      <c r="U26" s="5" t="s">
        <v>20</v>
      </c>
      <c r="V26" s="3"/>
    </row>
    <row r="27" ht="15.75" customHeight="1">
      <c r="A27" s="7"/>
      <c r="B27" s="8" t="s">
        <v>20</v>
      </c>
      <c r="C27" s="8" t="s">
        <v>20</v>
      </c>
      <c r="D27" s="8" t="s">
        <v>20</v>
      </c>
      <c r="E27" s="8" t="s">
        <v>20</v>
      </c>
      <c r="F27" s="8" t="s">
        <v>20</v>
      </c>
      <c r="G27" s="8" t="s">
        <v>20</v>
      </c>
      <c r="H27" s="8" t="s">
        <v>20</v>
      </c>
      <c r="I27" s="8" t="s">
        <v>20</v>
      </c>
      <c r="J27" s="8" t="s">
        <v>20</v>
      </c>
      <c r="K27" s="8" t="s">
        <v>20</v>
      </c>
      <c r="L27" s="8" t="s">
        <v>20</v>
      </c>
      <c r="M27" s="8" t="s">
        <v>20</v>
      </c>
      <c r="N27" s="8" t="s">
        <v>20</v>
      </c>
      <c r="O27" s="8" t="s">
        <v>20</v>
      </c>
      <c r="P27" s="8" t="s">
        <v>20</v>
      </c>
      <c r="Q27" s="8" t="s">
        <v>51</v>
      </c>
      <c r="R27" s="8" t="s">
        <v>20</v>
      </c>
      <c r="S27" s="8" t="s">
        <v>20</v>
      </c>
      <c r="T27" s="8" t="s">
        <v>20</v>
      </c>
      <c r="U27" s="8" t="s">
        <v>20</v>
      </c>
      <c r="V27" s="3"/>
    </row>
    <row r="28" ht="15.75" customHeight="1">
      <c r="A28" s="4" t="s">
        <v>79</v>
      </c>
      <c r="B28" s="5" t="s">
        <v>20</v>
      </c>
      <c r="C28" s="5" t="s">
        <v>20</v>
      </c>
      <c r="D28" s="5" t="s">
        <v>20</v>
      </c>
      <c r="E28" s="5" t="s">
        <v>20</v>
      </c>
      <c r="F28" s="5" t="s">
        <v>20</v>
      </c>
      <c r="G28" s="5" t="s">
        <v>20</v>
      </c>
      <c r="H28" s="5" t="s">
        <v>20</v>
      </c>
      <c r="I28" s="5" t="s">
        <v>20</v>
      </c>
      <c r="J28" s="5" t="s">
        <v>20</v>
      </c>
      <c r="K28" s="5" t="s">
        <v>20</v>
      </c>
      <c r="L28" s="5" t="s">
        <v>20</v>
      </c>
      <c r="M28" s="5" t="s">
        <v>20</v>
      </c>
      <c r="N28" s="5" t="s">
        <v>20</v>
      </c>
      <c r="O28" s="5" t="s">
        <v>20</v>
      </c>
      <c r="P28" s="5" t="s">
        <v>20</v>
      </c>
      <c r="Q28" s="5" t="s">
        <v>20</v>
      </c>
      <c r="R28" s="5" t="s">
        <v>48</v>
      </c>
      <c r="S28" s="5" t="s">
        <v>20</v>
      </c>
      <c r="T28" s="5" t="s">
        <v>41</v>
      </c>
      <c r="U28" s="5" t="s">
        <v>20</v>
      </c>
      <c r="V28" s="3" t="str">
        <f>HYPERLINK("#مجمع!B" &amp; 6, "ورديات اليوم مجمعة")</f>
        <v>ورديات اليوم مجمعة</v>
      </c>
    </row>
    <row r="29" ht="15.75" customHeight="1">
      <c r="A29" s="6"/>
      <c r="B29" s="5" t="s">
        <v>20</v>
      </c>
      <c r="C29" s="5" t="s">
        <v>20</v>
      </c>
      <c r="D29" s="5" t="s">
        <v>20</v>
      </c>
      <c r="E29" s="5" t="s">
        <v>20</v>
      </c>
      <c r="F29" s="5" t="s">
        <v>20</v>
      </c>
      <c r="G29" s="5" t="s">
        <v>20</v>
      </c>
      <c r="H29" s="5" t="s">
        <v>20</v>
      </c>
      <c r="I29" s="5" t="s">
        <v>20</v>
      </c>
      <c r="J29" s="5" t="s">
        <v>20</v>
      </c>
      <c r="K29" s="5" t="s">
        <v>20</v>
      </c>
      <c r="L29" s="5" t="s">
        <v>20</v>
      </c>
      <c r="M29" s="5" t="s">
        <v>20</v>
      </c>
      <c r="N29" s="5" t="s">
        <v>20</v>
      </c>
      <c r="O29" s="5" t="s">
        <v>20</v>
      </c>
      <c r="P29" s="5" t="s">
        <v>20</v>
      </c>
      <c r="Q29" s="5" t="s">
        <v>20</v>
      </c>
      <c r="R29" s="5" t="s">
        <v>28</v>
      </c>
      <c r="S29" s="5" t="s">
        <v>20</v>
      </c>
      <c r="T29" s="5" t="s">
        <v>64</v>
      </c>
      <c r="U29" s="5" t="s">
        <v>20</v>
      </c>
      <c r="V29" s="3"/>
    </row>
    <row r="30" ht="15.75" customHeight="1">
      <c r="A30" s="6"/>
      <c r="B30" s="5" t="s">
        <v>20</v>
      </c>
      <c r="C30" s="5" t="s">
        <v>20</v>
      </c>
      <c r="D30" s="5" t="s">
        <v>20</v>
      </c>
      <c r="E30" s="5" t="s">
        <v>20</v>
      </c>
      <c r="F30" s="5" t="s">
        <v>20</v>
      </c>
      <c r="G30" s="5" t="s">
        <v>20</v>
      </c>
      <c r="H30" s="5" t="s">
        <v>20</v>
      </c>
      <c r="I30" s="5" t="s">
        <v>20</v>
      </c>
      <c r="J30" s="5" t="s">
        <v>20</v>
      </c>
      <c r="K30" s="5" t="s">
        <v>20</v>
      </c>
      <c r="L30" s="5" t="s">
        <v>20</v>
      </c>
      <c r="M30" s="5" t="s">
        <v>20</v>
      </c>
      <c r="N30" s="5" t="s">
        <v>20</v>
      </c>
      <c r="O30" s="5" t="s">
        <v>20</v>
      </c>
      <c r="P30" s="5" t="s">
        <v>20</v>
      </c>
      <c r="Q30" s="5" t="s">
        <v>20</v>
      </c>
      <c r="R30" s="5" t="s">
        <v>57</v>
      </c>
      <c r="S30" s="5" t="s">
        <v>20</v>
      </c>
      <c r="T30" s="5" t="s">
        <v>47</v>
      </c>
      <c r="U30" s="5" t="s">
        <v>20</v>
      </c>
      <c r="V30" s="3"/>
    </row>
    <row r="31" ht="15.75" customHeight="1">
      <c r="A31" s="7"/>
      <c r="B31" s="8" t="s">
        <v>20</v>
      </c>
      <c r="C31" s="8" t="s">
        <v>20</v>
      </c>
      <c r="D31" s="8" t="s">
        <v>20</v>
      </c>
      <c r="E31" s="8" t="s">
        <v>20</v>
      </c>
      <c r="F31" s="8" t="s">
        <v>20</v>
      </c>
      <c r="G31" s="8" t="s">
        <v>20</v>
      </c>
      <c r="H31" s="8" t="s">
        <v>20</v>
      </c>
      <c r="I31" s="8" t="s">
        <v>20</v>
      </c>
      <c r="J31" s="8" t="s">
        <v>20</v>
      </c>
      <c r="K31" s="8" t="s">
        <v>20</v>
      </c>
      <c r="L31" s="8" t="s">
        <v>20</v>
      </c>
      <c r="M31" s="8" t="s">
        <v>20</v>
      </c>
      <c r="N31" s="8" t="s">
        <v>20</v>
      </c>
      <c r="O31" s="8" t="s">
        <v>20</v>
      </c>
      <c r="P31" s="8" t="s">
        <v>20</v>
      </c>
      <c r="Q31" s="8" t="s">
        <v>20</v>
      </c>
      <c r="R31" s="8" t="s">
        <v>74</v>
      </c>
      <c r="S31" s="8" t="s">
        <v>20</v>
      </c>
      <c r="T31" s="8" t="s">
        <v>20</v>
      </c>
      <c r="U31" s="8" t="s">
        <v>20</v>
      </c>
      <c r="V31" s="3"/>
    </row>
    <row r="32" ht="15.75" customHeight="1">
      <c r="A32" s="4" t="s">
        <v>80</v>
      </c>
      <c r="B32" s="5" t="s">
        <v>20</v>
      </c>
      <c r="C32" s="5" t="s">
        <v>20</v>
      </c>
      <c r="D32" s="5" t="s">
        <v>20</v>
      </c>
      <c r="E32" s="5" t="s">
        <v>20</v>
      </c>
      <c r="F32" s="5" t="s">
        <v>20</v>
      </c>
      <c r="G32" s="5" t="s">
        <v>20</v>
      </c>
      <c r="H32" s="5" t="s">
        <v>20</v>
      </c>
      <c r="I32" s="5" t="s">
        <v>20</v>
      </c>
      <c r="J32" s="5" t="s">
        <v>20</v>
      </c>
      <c r="K32" s="5" t="s">
        <v>20</v>
      </c>
      <c r="L32" s="5" t="s">
        <v>20</v>
      </c>
      <c r="M32" s="5" t="s">
        <v>20</v>
      </c>
      <c r="N32" s="5" t="s">
        <v>20</v>
      </c>
      <c r="O32" s="5" t="s">
        <v>20</v>
      </c>
      <c r="P32" s="5" t="s">
        <v>20</v>
      </c>
      <c r="Q32" s="5" t="s">
        <v>81</v>
      </c>
      <c r="R32" s="5" t="s">
        <v>20</v>
      </c>
      <c r="S32" s="5" t="s">
        <v>53</v>
      </c>
      <c r="T32" s="5" t="s">
        <v>20</v>
      </c>
      <c r="U32" s="5" t="s">
        <v>20</v>
      </c>
      <c r="V32" s="3" t="str">
        <f>HYPERLINK("#مجمع!B" &amp; 7, "ورديات اليوم مجمعة")</f>
        <v>ورديات اليوم مجمعة</v>
      </c>
    </row>
    <row r="33" ht="15.75" customHeight="1">
      <c r="A33" s="6"/>
      <c r="B33" s="5" t="s">
        <v>20</v>
      </c>
      <c r="C33" s="5" t="s">
        <v>20</v>
      </c>
      <c r="D33" s="5" t="s">
        <v>20</v>
      </c>
      <c r="E33" s="5" t="s">
        <v>20</v>
      </c>
      <c r="F33" s="5" t="s">
        <v>20</v>
      </c>
      <c r="G33" s="5" t="s">
        <v>20</v>
      </c>
      <c r="H33" s="5" t="s">
        <v>20</v>
      </c>
      <c r="I33" s="5" t="s">
        <v>20</v>
      </c>
      <c r="J33" s="5" t="s">
        <v>20</v>
      </c>
      <c r="K33" s="5" t="s">
        <v>20</v>
      </c>
      <c r="L33" s="5" t="s">
        <v>20</v>
      </c>
      <c r="M33" s="5" t="s">
        <v>20</v>
      </c>
      <c r="N33" s="5" t="s">
        <v>20</v>
      </c>
      <c r="O33" s="5" t="s">
        <v>20</v>
      </c>
      <c r="P33" s="5" t="s">
        <v>20</v>
      </c>
      <c r="Q33" s="5" t="s">
        <v>50</v>
      </c>
      <c r="R33" s="5" t="s">
        <v>20</v>
      </c>
      <c r="S33" s="5" t="s">
        <v>58</v>
      </c>
      <c r="T33" s="5" t="s">
        <v>20</v>
      </c>
      <c r="U33" s="5" t="s">
        <v>20</v>
      </c>
      <c r="V33" s="3"/>
    </row>
    <row r="34" ht="15.75" customHeight="1">
      <c r="A34" s="6"/>
      <c r="B34" s="5" t="s">
        <v>20</v>
      </c>
      <c r="C34" s="5" t="s">
        <v>20</v>
      </c>
      <c r="D34" s="5" t="s">
        <v>20</v>
      </c>
      <c r="E34" s="5" t="s">
        <v>20</v>
      </c>
      <c r="F34" s="5" t="s">
        <v>20</v>
      </c>
      <c r="G34" s="5" t="s">
        <v>20</v>
      </c>
      <c r="H34" s="5" t="s">
        <v>20</v>
      </c>
      <c r="I34" s="5" t="s">
        <v>20</v>
      </c>
      <c r="J34" s="5" t="s">
        <v>20</v>
      </c>
      <c r="K34" s="5" t="s">
        <v>20</v>
      </c>
      <c r="L34" s="5" t="s">
        <v>20</v>
      </c>
      <c r="M34" s="5" t="s">
        <v>20</v>
      </c>
      <c r="N34" s="5" t="s">
        <v>20</v>
      </c>
      <c r="O34" s="5" t="s">
        <v>20</v>
      </c>
      <c r="P34" s="5" t="s">
        <v>20</v>
      </c>
      <c r="Q34" s="5" t="s">
        <v>62</v>
      </c>
      <c r="R34" s="5" t="s">
        <v>20</v>
      </c>
      <c r="S34" s="5" t="s">
        <v>44</v>
      </c>
      <c r="T34" s="5" t="s">
        <v>20</v>
      </c>
      <c r="U34" s="5" t="s">
        <v>20</v>
      </c>
      <c r="V34" s="3"/>
    </row>
    <row r="35" ht="15.75" customHeight="1">
      <c r="A35" s="7"/>
      <c r="B35" s="8" t="s">
        <v>20</v>
      </c>
      <c r="C35" s="8" t="s">
        <v>20</v>
      </c>
      <c r="D35" s="8" t="s">
        <v>20</v>
      </c>
      <c r="E35" s="8" t="s">
        <v>20</v>
      </c>
      <c r="F35" s="8" t="s">
        <v>20</v>
      </c>
      <c r="G35" s="8" t="s">
        <v>20</v>
      </c>
      <c r="H35" s="8" t="s">
        <v>20</v>
      </c>
      <c r="I35" s="8" t="s">
        <v>20</v>
      </c>
      <c r="J35" s="8" t="s">
        <v>20</v>
      </c>
      <c r="K35" s="8" t="s">
        <v>20</v>
      </c>
      <c r="L35" s="8" t="s">
        <v>20</v>
      </c>
      <c r="M35" s="8" t="s">
        <v>20</v>
      </c>
      <c r="N35" s="8" t="s">
        <v>20</v>
      </c>
      <c r="O35" s="8" t="s">
        <v>20</v>
      </c>
      <c r="P35" s="8" t="s">
        <v>20</v>
      </c>
      <c r="Q35" s="8" t="s">
        <v>66</v>
      </c>
      <c r="R35" s="8" t="s">
        <v>20</v>
      </c>
      <c r="S35" s="8" t="s">
        <v>20</v>
      </c>
      <c r="T35" s="8" t="s">
        <v>20</v>
      </c>
      <c r="U35" s="8" t="s">
        <v>20</v>
      </c>
      <c r="V35" s="3"/>
    </row>
    <row r="36" ht="15.75" customHeight="1">
      <c r="A36" s="4" t="s">
        <v>82</v>
      </c>
      <c r="B36" s="5" t="s">
        <v>20</v>
      </c>
      <c r="C36" s="5" t="s">
        <v>20</v>
      </c>
      <c r="D36" s="5" t="s">
        <v>20</v>
      </c>
      <c r="E36" s="5" t="s">
        <v>20</v>
      </c>
      <c r="F36" s="5" t="s">
        <v>20</v>
      </c>
      <c r="G36" s="5" t="s">
        <v>20</v>
      </c>
      <c r="H36" s="5" t="s">
        <v>20</v>
      </c>
      <c r="I36" s="5" t="s">
        <v>20</v>
      </c>
      <c r="J36" s="5" t="s">
        <v>20</v>
      </c>
      <c r="K36" s="5" t="s">
        <v>20</v>
      </c>
      <c r="L36" s="5" t="s">
        <v>20</v>
      </c>
      <c r="M36" s="5" t="s">
        <v>20</v>
      </c>
      <c r="N36" s="5" t="s">
        <v>20</v>
      </c>
      <c r="O36" s="5" t="s">
        <v>20</v>
      </c>
      <c r="P36" s="5" t="s">
        <v>20</v>
      </c>
      <c r="Q36" s="5" t="s">
        <v>23</v>
      </c>
      <c r="R36" s="5" t="s">
        <v>20</v>
      </c>
      <c r="S36" s="5" t="s">
        <v>28</v>
      </c>
      <c r="T36" s="5" t="s">
        <v>20</v>
      </c>
      <c r="U36" s="5" t="s">
        <v>59</v>
      </c>
      <c r="V36" s="3" t="str">
        <f>HYPERLINK("#مجمع!B" &amp; 8, "ورديات اليوم مجمعة")</f>
        <v>ورديات اليوم مجمعة</v>
      </c>
    </row>
    <row r="37" ht="15.75" customHeight="1">
      <c r="A37" s="6"/>
      <c r="B37" s="5" t="s">
        <v>20</v>
      </c>
      <c r="C37" s="5" t="s">
        <v>20</v>
      </c>
      <c r="D37" s="5" t="s">
        <v>20</v>
      </c>
      <c r="E37" s="5" t="s">
        <v>20</v>
      </c>
      <c r="F37" s="5" t="s">
        <v>20</v>
      </c>
      <c r="G37" s="5" t="s">
        <v>20</v>
      </c>
      <c r="H37" s="5" t="s">
        <v>20</v>
      </c>
      <c r="I37" s="5" t="s">
        <v>20</v>
      </c>
      <c r="J37" s="5" t="s">
        <v>20</v>
      </c>
      <c r="K37" s="5" t="s">
        <v>20</v>
      </c>
      <c r="L37" s="5" t="s">
        <v>20</v>
      </c>
      <c r="M37" s="5" t="s">
        <v>20</v>
      </c>
      <c r="N37" s="5" t="s">
        <v>20</v>
      </c>
      <c r="O37" s="5" t="s">
        <v>20</v>
      </c>
      <c r="P37" s="5" t="s">
        <v>20</v>
      </c>
      <c r="Q37" s="5" t="s">
        <v>61</v>
      </c>
      <c r="R37" s="5" t="s">
        <v>20</v>
      </c>
      <c r="S37" s="5" t="s">
        <v>75</v>
      </c>
      <c r="T37" s="5" t="s">
        <v>20</v>
      </c>
      <c r="U37" s="5" t="s">
        <v>45</v>
      </c>
      <c r="V37" s="3"/>
    </row>
    <row r="38" ht="15.75" customHeight="1">
      <c r="A38" s="6"/>
      <c r="B38" s="5" t="s">
        <v>20</v>
      </c>
      <c r="C38" s="5" t="s">
        <v>20</v>
      </c>
      <c r="D38" s="5" t="s">
        <v>20</v>
      </c>
      <c r="E38" s="5" t="s">
        <v>20</v>
      </c>
      <c r="F38" s="5" t="s">
        <v>20</v>
      </c>
      <c r="G38" s="5" t="s">
        <v>20</v>
      </c>
      <c r="H38" s="5" t="s">
        <v>20</v>
      </c>
      <c r="I38" s="5" t="s">
        <v>20</v>
      </c>
      <c r="J38" s="5" t="s">
        <v>20</v>
      </c>
      <c r="K38" s="5" t="s">
        <v>20</v>
      </c>
      <c r="L38" s="5" t="s">
        <v>20</v>
      </c>
      <c r="M38" s="5" t="s">
        <v>20</v>
      </c>
      <c r="N38" s="5" t="s">
        <v>20</v>
      </c>
      <c r="O38" s="5" t="s">
        <v>20</v>
      </c>
      <c r="P38" s="5" t="s">
        <v>20</v>
      </c>
      <c r="Q38" s="5" t="s">
        <v>29</v>
      </c>
      <c r="R38" s="5" t="s">
        <v>20</v>
      </c>
      <c r="S38" s="5" t="s">
        <v>25</v>
      </c>
      <c r="T38" s="5" t="s">
        <v>20</v>
      </c>
      <c r="U38" s="5" t="s">
        <v>20</v>
      </c>
      <c r="V38" s="3"/>
    </row>
    <row r="39" ht="15.75" customHeight="1">
      <c r="A39" s="7"/>
      <c r="B39" s="8" t="s">
        <v>20</v>
      </c>
      <c r="C39" s="8" t="s">
        <v>20</v>
      </c>
      <c r="D39" s="8" t="s">
        <v>20</v>
      </c>
      <c r="E39" s="8" t="s">
        <v>20</v>
      </c>
      <c r="F39" s="8" t="s">
        <v>20</v>
      </c>
      <c r="G39" s="8" t="s">
        <v>20</v>
      </c>
      <c r="H39" s="8" t="s">
        <v>20</v>
      </c>
      <c r="I39" s="8" t="s">
        <v>20</v>
      </c>
      <c r="J39" s="8" t="s">
        <v>20</v>
      </c>
      <c r="K39" s="8" t="s">
        <v>20</v>
      </c>
      <c r="L39" s="8" t="s">
        <v>20</v>
      </c>
      <c r="M39" s="8" t="s">
        <v>20</v>
      </c>
      <c r="N39" s="8" t="s">
        <v>20</v>
      </c>
      <c r="O39" s="8" t="s">
        <v>20</v>
      </c>
      <c r="P39" s="8" t="s">
        <v>20</v>
      </c>
      <c r="Q39" s="8" t="s">
        <v>24</v>
      </c>
      <c r="R39" s="8" t="s">
        <v>20</v>
      </c>
      <c r="S39" s="8" t="s">
        <v>20</v>
      </c>
      <c r="T39" s="8" t="s">
        <v>20</v>
      </c>
      <c r="U39" s="8" t="s">
        <v>20</v>
      </c>
      <c r="V39" s="3"/>
    </row>
    <row r="40" ht="15.75" customHeight="1">
      <c r="A40" s="4" t="s">
        <v>83</v>
      </c>
      <c r="B40" s="5" t="s">
        <v>20</v>
      </c>
      <c r="C40" s="5" t="s">
        <v>20</v>
      </c>
      <c r="D40" s="5" t="s">
        <v>20</v>
      </c>
      <c r="E40" s="5" t="s">
        <v>20</v>
      </c>
      <c r="F40" s="5" t="s">
        <v>20</v>
      </c>
      <c r="G40" s="5" t="s">
        <v>20</v>
      </c>
      <c r="H40" s="5" t="s">
        <v>20</v>
      </c>
      <c r="I40" s="5" t="s">
        <v>20</v>
      </c>
      <c r="J40" s="5" t="s">
        <v>20</v>
      </c>
      <c r="K40" s="5" t="s">
        <v>20</v>
      </c>
      <c r="L40" s="5" t="s">
        <v>20</v>
      </c>
      <c r="M40" s="5" t="s">
        <v>20</v>
      </c>
      <c r="N40" s="5" t="s">
        <v>20</v>
      </c>
      <c r="O40" s="5" t="s">
        <v>20</v>
      </c>
      <c r="P40" s="5" t="s">
        <v>20</v>
      </c>
      <c r="Q40" s="5" t="s">
        <v>39</v>
      </c>
      <c r="R40" s="5" t="s">
        <v>20</v>
      </c>
      <c r="S40" s="5" t="s">
        <v>32</v>
      </c>
      <c r="T40" s="5" t="s">
        <v>20</v>
      </c>
      <c r="U40" s="5" t="s">
        <v>54</v>
      </c>
      <c r="V40" s="3" t="str">
        <f>HYPERLINK("#مجمع!B" &amp; 9, "ورديات اليوم مجمعة")</f>
        <v>ورديات اليوم مجمعة</v>
      </c>
    </row>
    <row r="41" ht="15.75" customHeight="1">
      <c r="A41" s="6"/>
      <c r="B41" s="5" t="s">
        <v>20</v>
      </c>
      <c r="C41" s="5" t="s">
        <v>20</v>
      </c>
      <c r="D41" s="5" t="s">
        <v>20</v>
      </c>
      <c r="E41" s="5" t="s">
        <v>20</v>
      </c>
      <c r="F41" s="5" t="s">
        <v>20</v>
      </c>
      <c r="G41" s="5" t="s">
        <v>20</v>
      </c>
      <c r="H41" s="5" t="s">
        <v>20</v>
      </c>
      <c r="I41" s="5" t="s">
        <v>20</v>
      </c>
      <c r="J41" s="5" t="s">
        <v>20</v>
      </c>
      <c r="K41" s="5" t="s">
        <v>20</v>
      </c>
      <c r="L41" s="5" t="s">
        <v>20</v>
      </c>
      <c r="M41" s="5" t="s">
        <v>20</v>
      </c>
      <c r="N41" s="5" t="s">
        <v>20</v>
      </c>
      <c r="O41" s="5" t="s">
        <v>20</v>
      </c>
      <c r="P41" s="5" t="s">
        <v>20</v>
      </c>
      <c r="Q41" s="5" t="s">
        <v>34</v>
      </c>
      <c r="R41" s="5" t="s">
        <v>20</v>
      </c>
      <c r="S41" s="5" t="s">
        <v>52</v>
      </c>
      <c r="T41" s="5" t="s">
        <v>20</v>
      </c>
      <c r="U41" s="5" t="s">
        <v>72</v>
      </c>
      <c r="V41" s="3"/>
    </row>
    <row r="42" ht="15.75" customHeight="1">
      <c r="A42" s="6"/>
      <c r="B42" s="5" t="s">
        <v>20</v>
      </c>
      <c r="C42" s="5" t="s">
        <v>20</v>
      </c>
      <c r="D42" s="5" t="s">
        <v>20</v>
      </c>
      <c r="E42" s="5" t="s">
        <v>20</v>
      </c>
      <c r="F42" s="5" t="s">
        <v>20</v>
      </c>
      <c r="G42" s="5" t="s">
        <v>20</v>
      </c>
      <c r="H42" s="5" t="s">
        <v>20</v>
      </c>
      <c r="I42" s="5" t="s">
        <v>20</v>
      </c>
      <c r="J42" s="5" t="s">
        <v>20</v>
      </c>
      <c r="K42" s="5" t="s">
        <v>20</v>
      </c>
      <c r="L42" s="5" t="s">
        <v>20</v>
      </c>
      <c r="M42" s="5" t="s">
        <v>20</v>
      </c>
      <c r="N42" s="5" t="s">
        <v>20</v>
      </c>
      <c r="O42" s="5" t="s">
        <v>20</v>
      </c>
      <c r="P42" s="5" t="s">
        <v>20</v>
      </c>
      <c r="Q42" s="5" t="s">
        <v>70</v>
      </c>
      <c r="R42" s="5" t="s">
        <v>20</v>
      </c>
      <c r="S42" s="5" t="s">
        <v>73</v>
      </c>
      <c r="T42" s="5" t="s">
        <v>20</v>
      </c>
      <c r="U42" s="5" t="s">
        <v>20</v>
      </c>
      <c r="V42" s="3"/>
    </row>
    <row r="43" ht="15.75" customHeight="1">
      <c r="A43" s="7"/>
      <c r="B43" s="8" t="s">
        <v>20</v>
      </c>
      <c r="C43" s="8" t="s">
        <v>20</v>
      </c>
      <c r="D43" s="8" t="s">
        <v>20</v>
      </c>
      <c r="E43" s="8" t="s">
        <v>20</v>
      </c>
      <c r="F43" s="8" t="s">
        <v>20</v>
      </c>
      <c r="G43" s="8" t="s">
        <v>20</v>
      </c>
      <c r="H43" s="8" t="s">
        <v>20</v>
      </c>
      <c r="I43" s="8" t="s">
        <v>20</v>
      </c>
      <c r="J43" s="8" t="s">
        <v>20</v>
      </c>
      <c r="K43" s="8" t="s">
        <v>20</v>
      </c>
      <c r="L43" s="8" t="s">
        <v>20</v>
      </c>
      <c r="M43" s="8" t="s">
        <v>20</v>
      </c>
      <c r="N43" s="8" t="s">
        <v>20</v>
      </c>
      <c r="O43" s="8" t="s">
        <v>20</v>
      </c>
      <c r="P43" s="8" t="s">
        <v>20</v>
      </c>
      <c r="Q43" s="8" t="s">
        <v>56</v>
      </c>
      <c r="R43" s="8" t="s">
        <v>20</v>
      </c>
      <c r="S43" s="8" t="s">
        <v>20</v>
      </c>
      <c r="T43" s="8" t="s">
        <v>20</v>
      </c>
      <c r="U43" s="8" t="s">
        <v>20</v>
      </c>
      <c r="V43" s="3"/>
    </row>
    <row r="44" ht="15.75" customHeight="1">
      <c r="A44" s="4" t="s">
        <v>84</v>
      </c>
      <c r="B44" s="5" t="s">
        <v>20</v>
      </c>
      <c r="C44" s="5" t="s">
        <v>20</v>
      </c>
      <c r="D44" s="5" t="s">
        <v>20</v>
      </c>
      <c r="E44" s="5" t="s">
        <v>20</v>
      </c>
      <c r="F44" s="5" t="s">
        <v>20</v>
      </c>
      <c r="G44" s="5" t="s">
        <v>20</v>
      </c>
      <c r="H44" s="5" t="s">
        <v>20</v>
      </c>
      <c r="I44" s="5" t="s">
        <v>20</v>
      </c>
      <c r="J44" s="5" t="s">
        <v>20</v>
      </c>
      <c r="K44" s="5" t="s">
        <v>20</v>
      </c>
      <c r="L44" s="5" t="s">
        <v>20</v>
      </c>
      <c r="M44" s="5" t="s">
        <v>20</v>
      </c>
      <c r="N44" s="5" t="s">
        <v>20</v>
      </c>
      <c r="O44" s="5" t="s">
        <v>20</v>
      </c>
      <c r="P44" s="5" t="s">
        <v>69</v>
      </c>
      <c r="Q44" s="5" t="s">
        <v>43</v>
      </c>
      <c r="R44" s="5" t="s">
        <v>20</v>
      </c>
      <c r="S44" s="5" t="s">
        <v>38</v>
      </c>
      <c r="T44" s="5" t="s">
        <v>20</v>
      </c>
      <c r="U44" s="5" t="s">
        <v>20</v>
      </c>
      <c r="V44" s="3" t="str">
        <f>HYPERLINK("#مجمع!B" &amp; 10, "ورديات اليوم مجمعة")</f>
        <v>ورديات اليوم مجمعة</v>
      </c>
    </row>
    <row r="45" ht="15.75" customHeight="1">
      <c r="A45" s="6"/>
      <c r="B45" s="5" t="s">
        <v>20</v>
      </c>
      <c r="C45" s="5" t="s">
        <v>20</v>
      </c>
      <c r="D45" s="5" t="s">
        <v>20</v>
      </c>
      <c r="E45" s="5" t="s">
        <v>20</v>
      </c>
      <c r="F45" s="5" t="s">
        <v>20</v>
      </c>
      <c r="G45" s="5" t="s">
        <v>20</v>
      </c>
      <c r="H45" s="5" t="s">
        <v>20</v>
      </c>
      <c r="I45" s="5" t="s">
        <v>20</v>
      </c>
      <c r="J45" s="5" t="s">
        <v>20</v>
      </c>
      <c r="K45" s="5" t="s">
        <v>20</v>
      </c>
      <c r="L45" s="5" t="s">
        <v>20</v>
      </c>
      <c r="M45" s="5" t="s">
        <v>20</v>
      </c>
      <c r="N45" s="5" t="s">
        <v>20</v>
      </c>
      <c r="O45" s="5" t="s">
        <v>20</v>
      </c>
      <c r="P45" s="5" t="s">
        <v>85</v>
      </c>
      <c r="Q45" s="5" t="s">
        <v>45</v>
      </c>
      <c r="R45" s="5" t="s">
        <v>20</v>
      </c>
      <c r="S45" s="5" t="s">
        <v>59</v>
      </c>
      <c r="T45" s="5" t="s">
        <v>20</v>
      </c>
      <c r="U45" s="5" t="s">
        <v>20</v>
      </c>
      <c r="V45" s="3"/>
    </row>
    <row r="46" ht="15.75" customHeight="1">
      <c r="A46" s="7"/>
      <c r="B46" s="8" t="s">
        <v>20</v>
      </c>
      <c r="C46" s="8" t="s">
        <v>20</v>
      </c>
      <c r="D46" s="8" t="s">
        <v>20</v>
      </c>
      <c r="E46" s="8" t="s">
        <v>20</v>
      </c>
      <c r="F46" s="8" t="s">
        <v>20</v>
      </c>
      <c r="G46" s="8" t="s">
        <v>20</v>
      </c>
      <c r="H46" s="8" t="s">
        <v>20</v>
      </c>
      <c r="I46" s="8" t="s">
        <v>20</v>
      </c>
      <c r="J46" s="8" t="s">
        <v>20</v>
      </c>
      <c r="K46" s="8" t="s">
        <v>20</v>
      </c>
      <c r="L46" s="8" t="s">
        <v>20</v>
      </c>
      <c r="M46" s="8" t="s">
        <v>20</v>
      </c>
      <c r="N46" s="8" t="s">
        <v>20</v>
      </c>
      <c r="O46" s="8" t="s">
        <v>20</v>
      </c>
      <c r="P46" s="8" t="s">
        <v>20</v>
      </c>
      <c r="Q46" s="8" t="s">
        <v>44</v>
      </c>
      <c r="R46" s="8" t="s">
        <v>20</v>
      </c>
      <c r="S46" s="8" t="s">
        <v>20</v>
      </c>
      <c r="T46" s="8" t="s">
        <v>20</v>
      </c>
      <c r="U46" s="8" t="s">
        <v>20</v>
      </c>
      <c r="V46" s="3"/>
    </row>
    <row r="47" ht="15.75" customHeight="1">
      <c r="A47" s="4" t="s">
        <v>86</v>
      </c>
      <c r="B47" s="5" t="s">
        <v>85</v>
      </c>
      <c r="C47" s="5" t="s">
        <v>48</v>
      </c>
      <c r="D47" s="5" t="s">
        <v>39</v>
      </c>
      <c r="E47" s="5" t="s">
        <v>59</v>
      </c>
      <c r="F47" s="5" t="s">
        <v>61</v>
      </c>
      <c r="G47" s="5" t="s">
        <v>27</v>
      </c>
      <c r="H47" s="5" t="s">
        <v>42</v>
      </c>
      <c r="I47" s="5" t="s">
        <v>69</v>
      </c>
      <c r="J47" s="5" t="s">
        <v>50</v>
      </c>
      <c r="K47" s="5" t="s">
        <v>49</v>
      </c>
      <c r="L47" s="5" t="s">
        <v>28</v>
      </c>
      <c r="M47" s="5" t="s">
        <v>38</v>
      </c>
      <c r="N47" s="5" t="s">
        <v>43</v>
      </c>
      <c r="O47" s="5" t="s">
        <v>22</v>
      </c>
      <c r="P47" s="5" t="s">
        <v>20</v>
      </c>
      <c r="Q47" s="5" t="s">
        <v>20</v>
      </c>
      <c r="R47" s="5" t="s">
        <v>20</v>
      </c>
      <c r="S47" s="5" t="s">
        <v>20</v>
      </c>
      <c r="T47" s="5" t="s">
        <v>20</v>
      </c>
      <c r="U47" s="5" t="s">
        <v>20</v>
      </c>
      <c r="V47" s="3" t="str">
        <f>HYPERLINK("#مجمع!B" &amp; 11, "ورديات اليوم مجمعة")</f>
        <v>ورديات اليوم مجمعة</v>
      </c>
    </row>
    <row r="48" ht="15.75" customHeight="1">
      <c r="A48" s="6"/>
      <c r="B48" s="5" t="s">
        <v>20</v>
      </c>
      <c r="C48" s="5" t="s">
        <v>20</v>
      </c>
      <c r="D48" s="5" t="s">
        <v>20</v>
      </c>
      <c r="E48" s="5" t="s">
        <v>20</v>
      </c>
      <c r="F48" s="5" t="s">
        <v>20</v>
      </c>
      <c r="G48" s="5" t="s">
        <v>20</v>
      </c>
      <c r="H48" s="5" t="s">
        <v>45</v>
      </c>
      <c r="I48" s="5" t="s">
        <v>75</v>
      </c>
      <c r="J48" s="5" t="s">
        <v>20</v>
      </c>
      <c r="K48" s="5" t="s">
        <v>20</v>
      </c>
      <c r="L48" s="5" t="s">
        <v>60</v>
      </c>
      <c r="M48" s="5" t="s">
        <v>24</v>
      </c>
      <c r="N48" s="5" t="s">
        <v>23</v>
      </c>
      <c r="O48" s="5" t="s">
        <v>53</v>
      </c>
      <c r="P48" s="5" t="s">
        <v>20</v>
      </c>
      <c r="Q48" s="5" t="s">
        <v>20</v>
      </c>
      <c r="R48" s="5" t="s">
        <v>20</v>
      </c>
      <c r="S48" s="5" t="s">
        <v>20</v>
      </c>
      <c r="T48" s="5" t="s">
        <v>20</v>
      </c>
      <c r="U48" s="5" t="s">
        <v>20</v>
      </c>
      <c r="V48" s="3"/>
    </row>
    <row r="49" ht="15.75" customHeight="1">
      <c r="A49" s="6"/>
      <c r="B49" s="5" t="s">
        <v>20</v>
      </c>
      <c r="C49" s="5" t="s">
        <v>20</v>
      </c>
      <c r="D49" s="5" t="s">
        <v>20</v>
      </c>
      <c r="E49" s="5" t="s">
        <v>20</v>
      </c>
      <c r="F49" s="5" t="s">
        <v>20</v>
      </c>
      <c r="G49" s="5" t="s">
        <v>20</v>
      </c>
      <c r="H49" s="5" t="s">
        <v>63</v>
      </c>
      <c r="I49" s="5" t="s">
        <v>25</v>
      </c>
      <c r="J49" s="5" t="s">
        <v>20</v>
      </c>
      <c r="K49" s="5" t="s">
        <v>20</v>
      </c>
      <c r="L49" s="5" t="s">
        <v>73</v>
      </c>
      <c r="M49" s="5" t="s">
        <v>41</v>
      </c>
      <c r="N49" s="5" t="s">
        <v>57</v>
      </c>
      <c r="O49" s="5" t="s">
        <v>58</v>
      </c>
      <c r="P49" s="5" t="s">
        <v>20</v>
      </c>
      <c r="Q49" s="5" t="s">
        <v>20</v>
      </c>
      <c r="R49" s="5" t="s">
        <v>20</v>
      </c>
      <c r="S49" s="5" t="s">
        <v>20</v>
      </c>
      <c r="T49" s="5" t="s">
        <v>20</v>
      </c>
      <c r="U49" s="5" t="s">
        <v>20</v>
      </c>
      <c r="V49" s="3"/>
    </row>
    <row r="50" ht="15.75" customHeight="1">
      <c r="A50" s="6"/>
      <c r="B50" s="5" t="s">
        <v>20</v>
      </c>
      <c r="C50" s="5" t="s">
        <v>20</v>
      </c>
      <c r="D50" s="5" t="s">
        <v>20</v>
      </c>
      <c r="E50" s="5" t="s">
        <v>20</v>
      </c>
      <c r="F50" s="5" t="s">
        <v>20</v>
      </c>
      <c r="G50" s="5" t="s">
        <v>20</v>
      </c>
      <c r="H50" s="5" t="s">
        <v>74</v>
      </c>
      <c r="I50" s="5" t="s">
        <v>36</v>
      </c>
      <c r="J50" s="5" t="s">
        <v>20</v>
      </c>
      <c r="K50" s="5" t="s">
        <v>20</v>
      </c>
      <c r="L50" s="5" t="s">
        <v>70</v>
      </c>
      <c r="M50" s="5" t="s">
        <v>56</v>
      </c>
      <c r="N50" s="5" t="s">
        <v>35</v>
      </c>
      <c r="O50" s="5" t="s">
        <v>33</v>
      </c>
      <c r="P50" s="5" t="s">
        <v>20</v>
      </c>
      <c r="Q50" s="5" t="s">
        <v>20</v>
      </c>
      <c r="R50" s="5" t="s">
        <v>20</v>
      </c>
      <c r="S50" s="5" t="s">
        <v>20</v>
      </c>
      <c r="T50" s="5" t="s">
        <v>20</v>
      </c>
      <c r="U50" s="5" t="s">
        <v>20</v>
      </c>
      <c r="V50" s="3"/>
    </row>
    <row r="51" ht="15.75" customHeight="1">
      <c r="A51" s="6"/>
      <c r="B51" s="5" t="s">
        <v>20</v>
      </c>
      <c r="C51" s="5" t="s">
        <v>20</v>
      </c>
      <c r="D51" s="5" t="s">
        <v>20</v>
      </c>
      <c r="E51" s="5" t="s">
        <v>20</v>
      </c>
      <c r="F51" s="5" t="s">
        <v>20</v>
      </c>
      <c r="G51" s="5" t="s">
        <v>20</v>
      </c>
      <c r="H51" s="5" t="s">
        <v>68</v>
      </c>
      <c r="I51" s="5" t="s">
        <v>72</v>
      </c>
      <c r="J51" s="5" t="s">
        <v>20</v>
      </c>
      <c r="K51" s="5" t="s">
        <v>20</v>
      </c>
      <c r="L51" s="5" t="s">
        <v>37</v>
      </c>
      <c r="M51" s="5" t="s">
        <v>77</v>
      </c>
      <c r="N51" s="5" t="s">
        <v>20</v>
      </c>
      <c r="O51" s="5" t="s">
        <v>20</v>
      </c>
      <c r="P51" s="5" t="s">
        <v>20</v>
      </c>
      <c r="Q51" s="5" t="s">
        <v>20</v>
      </c>
      <c r="R51" s="5" t="s">
        <v>20</v>
      </c>
      <c r="S51" s="5" t="s">
        <v>20</v>
      </c>
      <c r="T51" s="5" t="s">
        <v>20</v>
      </c>
      <c r="U51" s="5" t="s">
        <v>20</v>
      </c>
      <c r="V51" s="3"/>
    </row>
    <row r="52" ht="15.75" customHeight="1">
      <c r="A52" s="6"/>
      <c r="B52" s="5" t="s">
        <v>20</v>
      </c>
      <c r="C52" s="5" t="s">
        <v>20</v>
      </c>
      <c r="D52" s="5" t="s">
        <v>20</v>
      </c>
      <c r="E52" s="5" t="s">
        <v>20</v>
      </c>
      <c r="F52" s="5" t="s">
        <v>20</v>
      </c>
      <c r="G52" s="5" t="s">
        <v>20</v>
      </c>
      <c r="H52" s="5" t="s">
        <v>54</v>
      </c>
      <c r="I52" s="5" t="s">
        <v>64</v>
      </c>
      <c r="J52" s="5" t="s">
        <v>20</v>
      </c>
      <c r="K52" s="5" t="s">
        <v>20</v>
      </c>
      <c r="L52" s="5" t="s">
        <v>52</v>
      </c>
      <c r="M52" s="5" t="s">
        <v>31</v>
      </c>
      <c r="N52" s="5" t="s">
        <v>20</v>
      </c>
      <c r="O52" s="5" t="s">
        <v>20</v>
      </c>
      <c r="P52" s="5" t="s">
        <v>20</v>
      </c>
      <c r="Q52" s="5" t="s">
        <v>20</v>
      </c>
      <c r="R52" s="5" t="s">
        <v>20</v>
      </c>
      <c r="S52" s="5" t="s">
        <v>20</v>
      </c>
      <c r="T52" s="5" t="s">
        <v>20</v>
      </c>
      <c r="U52" s="5" t="s">
        <v>20</v>
      </c>
      <c r="V52" s="3"/>
    </row>
    <row r="53" ht="15.75" customHeight="1">
      <c r="A53" s="6"/>
      <c r="B53" s="5" t="s">
        <v>20</v>
      </c>
      <c r="C53" s="5" t="s">
        <v>20</v>
      </c>
      <c r="D53" s="5" t="s">
        <v>20</v>
      </c>
      <c r="E53" s="5" t="s">
        <v>20</v>
      </c>
      <c r="F53" s="5" t="s">
        <v>20</v>
      </c>
      <c r="G53" s="5" t="s">
        <v>20</v>
      </c>
      <c r="H53" s="5" t="s">
        <v>29</v>
      </c>
      <c r="I53" s="5" t="s">
        <v>55</v>
      </c>
      <c r="J53" s="5" t="s">
        <v>20</v>
      </c>
      <c r="K53" s="5" t="s">
        <v>20</v>
      </c>
      <c r="L53" s="5" t="s">
        <v>65</v>
      </c>
      <c r="M53" s="5" t="s">
        <v>66</v>
      </c>
      <c r="N53" s="5" t="s">
        <v>20</v>
      </c>
      <c r="O53" s="5" t="s">
        <v>20</v>
      </c>
      <c r="P53" s="5" t="s">
        <v>20</v>
      </c>
      <c r="Q53" s="5" t="s">
        <v>20</v>
      </c>
      <c r="R53" s="5" t="s">
        <v>20</v>
      </c>
      <c r="S53" s="5" t="s">
        <v>20</v>
      </c>
      <c r="T53" s="5" t="s">
        <v>20</v>
      </c>
      <c r="U53" s="5" t="s">
        <v>20</v>
      </c>
      <c r="V53" s="3"/>
    </row>
    <row r="54" ht="15.75" customHeight="1">
      <c r="A54" s="7"/>
      <c r="B54" s="8" t="s">
        <v>20</v>
      </c>
      <c r="C54" s="8" t="s">
        <v>20</v>
      </c>
      <c r="D54" s="8" t="s">
        <v>20</v>
      </c>
      <c r="E54" s="8" t="s">
        <v>20</v>
      </c>
      <c r="F54" s="8" t="s">
        <v>20</v>
      </c>
      <c r="G54" s="8" t="s">
        <v>20</v>
      </c>
      <c r="H54" s="8" t="s">
        <v>71</v>
      </c>
      <c r="I54" s="8" t="s">
        <v>26</v>
      </c>
      <c r="J54" s="8" t="s">
        <v>20</v>
      </c>
      <c r="K54" s="8" t="s">
        <v>20</v>
      </c>
      <c r="L54" s="8" t="s">
        <v>20</v>
      </c>
      <c r="M54" s="8" t="s">
        <v>20</v>
      </c>
      <c r="N54" s="8" t="s">
        <v>20</v>
      </c>
      <c r="O54" s="8" t="s">
        <v>20</v>
      </c>
      <c r="P54" s="8" t="s">
        <v>20</v>
      </c>
      <c r="Q54" s="8" t="s">
        <v>20</v>
      </c>
      <c r="R54" s="8" t="s">
        <v>20</v>
      </c>
      <c r="S54" s="8" t="s">
        <v>20</v>
      </c>
      <c r="T54" s="8" t="s">
        <v>20</v>
      </c>
      <c r="U54" s="8" t="s">
        <v>20</v>
      </c>
      <c r="V54" s="3"/>
    </row>
    <row r="55" ht="15.75" customHeight="1">
      <c r="A55" s="4" t="s">
        <v>87</v>
      </c>
      <c r="B55" s="5" t="s">
        <v>20</v>
      </c>
      <c r="C55" s="5" t="s">
        <v>20</v>
      </c>
      <c r="D55" s="5" t="s">
        <v>20</v>
      </c>
      <c r="E55" s="5" t="s">
        <v>20</v>
      </c>
      <c r="F55" s="5" t="s">
        <v>20</v>
      </c>
      <c r="G55" s="5" t="s">
        <v>20</v>
      </c>
      <c r="H55" s="5" t="s">
        <v>20</v>
      </c>
      <c r="I55" s="5" t="s">
        <v>20</v>
      </c>
      <c r="J55" s="5" t="s">
        <v>20</v>
      </c>
      <c r="K55" s="5" t="s">
        <v>20</v>
      </c>
      <c r="L55" s="5" t="s">
        <v>20</v>
      </c>
      <c r="M55" s="5" t="s">
        <v>20</v>
      </c>
      <c r="N55" s="5" t="s">
        <v>20</v>
      </c>
      <c r="O55" s="5" t="s">
        <v>20</v>
      </c>
      <c r="P55" s="5" t="s">
        <v>20</v>
      </c>
      <c r="Q55" s="5" t="s">
        <v>39</v>
      </c>
      <c r="R55" s="5" t="s">
        <v>20</v>
      </c>
      <c r="S55" s="5" t="s">
        <v>47</v>
      </c>
      <c r="T55" s="5" t="s">
        <v>20</v>
      </c>
      <c r="U55" s="5" t="s">
        <v>20</v>
      </c>
      <c r="V55" s="3" t="str">
        <f>HYPERLINK("#مجمع!B" &amp; 12, "ورديات اليوم مجمعة")</f>
        <v>ورديات اليوم مجمعة</v>
      </c>
    </row>
    <row r="56" ht="15.75" customHeight="1">
      <c r="A56" s="6"/>
      <c r="B56" s="5" t="s">
        <v>20</v>
      </c>
      <c r="C56" s="5" t="s">
        <v>20</v>
      </c>
      <c r="D56" s="5" t="s">
        <v>20</v>
      </c>
      <c r="E56" s="5" t="s">
        <v>20</v>
      </c>
      <c r="F56" s="5" t="s">
        <v>20</v>
      </c>
      <c r="G56" s="5" t="s">
        <v>20</v>
      </c>
      <c r="H56" s="5" t="s">
        <v>20</v>
      </c>
      <c r="I56" s="5" t="s">
        <v>20</v>
      </c>
      <c r="J56" s="5" t="s">
        <v>20</v>
      </c>
      <c r="K56" s="5" t="s">
        <v>20</v>
      </c>
      <c r="L56" s="5" t="s">
        <v>20</v>
      </c>
      <c r="M56" s="5" t="s">
        <v>20</v>
      </c>
      <c r="N56" s="5" t="s">
        <v>20</v>
      </c>
      <c r="O56" s="5" t="s">
        <v>20</v>
      </c>
      <c r="P56" s="5" t="s">
        <v>20</v>
      </c>
      <c r="Q56" s="5" t="s">
        <v>88</v>
      </c>
      <c r="R56" s="5" t="s">
        <v>20</v>
      </c>
      <c r="S56" s="5" t="s">
        <v>85</v>
      </c>
      <c r="T56" s="5" t="s">
        <v>20</v>
      </c>
      <c r="U56" s="5" t="s">
        <v>20</v>
      </c>
      <c r="V56" s="3"/>
    </row>
    <row r="57" ht="15.75" customHeight="1">
      <c r="A57" s="6"/>
      <c r="B57" s="5" t="s">
        <v>20</v>
      </c>
      <c r="C57" s="5" t="s">
        <v>20</v>
      </c>
      <c r="D57" s="5" t="s">
        <v>20</v>
      </c>
      <c r="E57" s="5" t="s">
        <v>20</v>
      </c>
      <c r="F57" s="5" t="s">
        <v>20</v>
      </c>
      <c r="G57" s="5" t="s">
        <v>20</v>
      </c>
      <c r="H57" s="5" t="s">
        <v>20</v>
      </c>
      <c r="I57" s="5" t="s">
        <v>20</v>
      </c>
      <c r="J57" s="5" t="s">
        <v>20</v>
      </c>
      <c r="K57" s="5" t="s">
        <v>20</v>
      </c>
      <c r="L57" s="5" t="s">
        <v>20</v>
      </c>
      <c r="M57" s="5" t="s">
        <v>20</v>
      </c>
      <c r="N57" s="5" t="s">
        <v>20</v>
      </c>
      <c r="O57" s="5" t="s">
        <v>20</v>
      </c>
      <c r="P57" s="5" t="s">
        <v>20</v>
      </c>
      <c r="Q57" s="5" t="s">
        <v>70</v>
      </c>
      <c r="R57" s="5" t="s">
        <v>20</v>
      </c>
      <c r="S57" s="5" t="s">
        <v>35</v>
      </c>
      <c r="T57" s="5" t="s">
        <v>20</v>
      </c>
      <c r="U57" s="5" t="s">
        <v>20</v>
      </c>
      <c r="V57" s="3"/>
    </row>
    <row r="58" ht="15.75" customHeight="1">
      <c r="A58" s="6"/>
      <c r="B58" s="5" t="s">
        <v>20</v>
      </c>
      <c r="C58" s="5" t="s">
        <v>20</v>
      </c>
      <c r="D58" s="5" t="s">
        <v>20</v>
      </c>
      <c r="E58" s="5" t="s">
        <v>20</v>
      </c>
      <c r="F58" s="5" t="s">
        <v>20</v>
      </c>
      <c r="G58" s="5" t="s">
        <v>20</v>
      </c>
      <c r="H58" s="5" t="s">
        <v>20</v>
      </c>
      <c r="I58" s="5" t="s">
        <v>20</v>
      </c>
      <c r="J58" s="5" t="s">
        <v>20</v>
      </c>
      <c r="K58" s="5" t="s">
        <v>20</v>
      </c>
      <c r="L58" s="5" t="s">
        <v>20</v>
      </c>
      <c r="M58" s="5" t="s">
        <v>20</v>
      </c>
      <c r="N58" s="5" t="s">
        <v>20</v>
      </c>
      <c r="O58" s="5" t="s">
        <v>20</v>
      </c>
      <c r="P58" s="5" t="s">
        <v>20</v>
      </c>
      <c r="Q58" s="5" t="s">
        <v>60</v>
      </c>
      <c r="R58" s="5" t="s">
        <v>20</v>
      </c>
      <c r="S58" s="5" t="s">
        <v>52</v>
      </c>
      <c r="T58" s="5" t="s">
        <v>20</v>
      </c>
      <c r="U58" s="5" t="s">
        <v>20</v>
      </c>
      <c r="V58" s="3"/>
    </row>
    <row r="59" ht="15.75" customHeight="1">
      <c r="A59" s="6"/>
      <c r="B59" s="5" t="s">
        <v>20</v>
      </c>
      <c r="C59" s="5" t="s">
        <v>20</v>
      </c>
      <c r="D59" s="5" t="s">
        <v>20</v>
      </c>
      <c r="E59" s="5" t="s">
        <v>20</v>
      </c>
      <c r="F59" s="5" t="s">
        <v>20</v>
      </c>
      <c r="G59" s="5" t="s">
        <v>20</v>
      </c>
      <c r="H59" s="5" t="s">
        <v>20</v>
      </c>
      <c r="I59" s="5" t="s">
        <v>20</v>
      </c>
      <c r="J59" s="5" t="s">
        <v>20</v>
      </c>
      <c r="K59" s="5" t="s">
        <v>20</v>
      </c>
      <c r="L59" s="5" t="s">
        <v>20</v>
      </c>
      <c r="M59" s="5" t="s">
        <v>20</v>
      </c>
      <c r="N59" s="5" t="s">
        <v>20</v>
      </c>
      <c r="O59" s="5" t="s">
        <v>20</v>
      </c>
      <c r="P59" s="5" t="s">
        <v>20</v>
      </c>
      <c r="Q59" s="5" t="s">
        <v>71</v>
      </c>
      <c r="R59" s="5" t="s">
        <v>20</v>
      </c>
      <c r="S59" s="5" t="s">
        <v>20</v>
      </c>
      <c r="T59" s="5" t="s">
        <v>20</v>
      </c>
      <c r="U59" s="5" t="s">
        <v>20</v>
      </c>
      <c r="V59" s="3"/>
    </row>
    <row r="60" ht="15.75" customHeight="1">
      <c r="A60" s="6"/>
      <c r="B60" s="5" t="s">
        <v>20</v>
      </c>
      <c r="C60" s="5" t="s">
        <v>20</v>
      </c>
      <c r="D60" s="5" t="s">
        <v>20</v>
      </c>
      <c r="E60" s="5" t="s">
        <v>20</v>
      </c>
      <c r="F60" s="5" t="s">
        <v>20</v>
      </c>
      <c r="G60" s="5" t="s">
        <v>20</v>
      </c>
      <c r="H60" s="5" t="s">
        <v>20</v>
      </c>
      <c r="I60" s="5" t="s">
        <v>20</v>
      </c>
      <c r="J60" s="5" t="s">
        <v>20</v>
      </c>
      <c r="K60" s="5" t="s">
        <v>20</v>
      </c>
      <c r="L60" s="5" t="s">
        <v>20</v>
      </c>
      <c r="M60" s="5" t="s">
        <v>20</v>
      </c>
      <c r="N60" s="5" t="s">
        <v>20</v>
      </c>
      <c r="O60" s="5" t="s">
        <v>20</v>
      </c>
      <c r="P60" s="5" t="s">
        <v>20</v>
      </c>
      <c r="Q60" s="5" t="s">
        <v>29</v>
      </c>
      <c r="R60" s="5" t="s">
        <v>20</v>
      </c>
      <c r="S60" s="5" t="s">
        <v>20</v>
      </c>
      <c r="T60" s="5" t="s">
        <v>20</v>
      </c>
      <c r="U60" s="5" t="s">
        <v>20</v>
      </c>
      <c r="V60" s="3"/>
    </row>
    <row r="61" ht="15.75" customHeight="1">
      <c r="A61" s="7"/>
      <c r="B61" s="8" t="s">
        <v>20</v>
      </c>
      <c r="C61" s="8" t="s">
        <v>20</v>
      </c>
      <c r="D61" s="8" t="s">
        <v>20</v>
      </c>
      <c r="E61" s="8" t="s">
        <v>20</v>
      </c>
      <c r="F61" s="8" t="s">
        <v>20</v>
      </c>
      <c r="G61" s="8" t="s">
        <v>20</v>
      </c>
      <c r="H61" s="8" t="s">
        <v>20</v>
      </c>
      <c r="I61" s="8" t="s">
        <v>20</v>
      </c>
      <c r="J61" s="8" t="s">
        <v>20</v>
      </c>
      <c r="K61" s="8" t="s">
        <v>20</v>
      </c>
      <c r="L61" s="8" t="s">
        <v>20</v>
      </c>
      <c r="M61" s="8" t="s">
        <v>20</v>
      </c>
      <c r="N61" s="8" t="s">
        <v>20</v>
      </c>
      <c r="O61" s="8" t="s">
        <v>20</v>
      </c>
      <c r="P61" s="8" t="s">
        <v>20</v>
      </c>
      <c r="Q61" s="8" t="s">
        <v>62</v>
      </c>
      <c r="R61" s="8" t="s">
        <v>20</v>
      </c>
      <c r="S61" s="8" t="s">
        <v>20</v>
      </c>
      <c r="T61" s="8" t="s">
        <v>20</v>
      </c>
      <c r="U61" s="8" t="s">
        <v>20</v>
      </c>
      <c r="V61" s="3"/>
    </row>
    <row r="62" ht="15.75" customHeight="1">
      <c r="A62" s="4" t="s">
        <v>89</v>
      </c>
      <c r="B62" s="5" t="s">
        <v>20</v>
      </c>
      <c r="C62" s="5" t="s">
        <v>20</v>
      </c>
      <c r="D62" s="5" t="s">
        <v>20</v>
      </c>
      <c r="E62" s="5" t="s">
        <v>20</v>
      </c>
      <c r="F62" s="5" t="s">
        <v>20</v>
      </c>
      <c r="G62" s="5" t="s">
        <v>20</v>
      </c>
      <c r="H62" s="5" t="s">
        <v>20</v>
      </c>
      <c r="I62" s="5" t="s">
        <v>20</v>
      </c>
      <c r="J62" s="5" t="s">
        <v>20</v>
      </c>
      <c r="K62" s="5" t="s">
        <v>20</v>
      </c>
      <c r="L62" s="5" t="s">
        <v>20</v>
      </c>
      <c r="M62" s="5" t="s">
        <v>20</v>
      </c>
      <c r="N62" s="5" t="s">
        <v>20</v>
      </c>
      <c r="O62" s="5" t="s">
        <v>20</v>
      </c>
      <c r="P62" s="5" t="s">
        <v>20</v>
      </c>
      <c r="Q62" s="5" t="s">
        <v>20</v>
      </c>
      <c r="R62" s="5" t="s">
        <v>48</v>
      </c>
      <c r="S62" s="5" t="s">
        <v>20</v>
      </c>
      <c r="T62" s="5" t="s">
        <v>69</v>
      </c>
      <c r="U62" s="5" t="s">
        <v>20</v>
      </c>
      <c r="V62" s="3" t="str">
        <f>HYPERLINK("#مجمع!B" &amp; 13, "ورديات اليوم مجمعة")</f>
        <v>ورديات اليوم مجمعة</v>
      </c>
    </row>
    <row r="63" ht="15.75" customHeight="1">
      <c r="A63" s="6"/>
      <c r="B63" s="5" t="s">
        <v>20</v>
      </c>
      <c r="C63" s="5" t="s">
        <v>20</v>
      </c>
      <c r="D63" s="5" t="s">
        <v>20</v>
      </c>
      <c r="E63" s="5" t="s">
        <v>20</v>
      </c>
      <c r="F63" s="5" t="s">
        <v>20</v>
      </c>
      <c r="G63" s="5" t="s">
        <v>20</v>
      </c>
      <c r="H63" s="5" t="s">
        <v>20</v>
      </c>
      <c r="I63" s="5" t="s">
        <v>20</v>
      </c>
      <c r="J63" s="5" t="s">
        <v>20</v>
      </c>
      <c r="K63" s="5" t="s">
        <v>20</v>
      </c>
      <c r="L63" s="5" t="s">
        <v>20</v>
      </c>
      <c r="M63" s="5" t="s">
        <v>20</v>
      </c>
      <c r="N63" s="5" t="s">
        <v>20</v>
      </c>
      <c r="O63" s="5" t="s">
        <v>20</v>
      </c>
      <c r="P63" s="5" t="s">
        <v>20</v>
      </c>
      <c r="Q63" s="5" t="s">
        <v>20</v>
      </c>
      <c r="R63" s="5" t="s">
        <v>74</v>
      </c>
      <c r="S63" s="5" t="s">
        <v>20</v>
      </c>
      <c r="T63" s="5" t="s">
        <v>65</v>
      </c>
      <c r="U63" s="5" t="s">
        <v>20</v>
      </c>
      <c r="V63" s="3"/>
    </row>
    <row r="64" ht="15.75" customHeight="1">
      <c r="A64" s="6"/>
      <c r="B64" s="5" t="s">
        <v>20</v>
      </c>
      <c r="C64" s="5" t="s">
        <v>20</v>
      </c>
      <c r="D64" s="5" t="s">
        <v>20</v>
      </c>
      <c r="E64" s="5" t="s">
        <v>20</v>
      </c>
      <c r="F64" s="5" t="s">
        <v>20</v>
      </c>
      <c r="G64" s="5" t="s">
        <v>20</v>
      </c>
      <c r="H64" s="5" t="s">
        <v>20</v>
      </c>
      <c r="I64" s="5" t="s">
        <v>20</v>
      </c>
      <c r="J64" s="5" t="s">
        <v>20</v>
      </c>
      <c r="K64" s="5" t="s">
        <v>20</v>
      </c>
      <c r="L64" s="5" t="s">
        <v>20</v>
      </c>
      <c r="M64" s="5" t="s">
        <v>20</v>
      </c>
      <c r="N64" s="5" t="s">
        <v>20</v>
      </c>
      <c r="O64" s="5" t="s">
        <v>20</v>
      </c>
      <c r="P64" s="5" t="s">
        <v>20</v>
      </c>
      <c r="Q64" s="5" t="s">
        <v>20</v>
      </c>
      <c r="R64" s="5" t="s">
        <v>63</v>
      </c>
      <c r="S64" s="5" t="s">
        <v>20</v>
      </c>
      <c r="T64" s="5" t="s">
        <v>64</v>
      </c>
      <c r="U64" s="5" t="s">
        <v>20</v>
      </c>
      <c r="V64" s="3"/>
    </row>
    <row r="65" ht="15.75" customHeight="1">
      <c r="A65" s="7"/>
      <c r="B65" s="8" t="s">
        <v>20</v>
      </c>
      <c r="C65" s="8" t="s">
        <v>20</v>
      </c>
      <c r="D65" s="8" t="s">
        <v>20</v>
      </c>
      <c r="E65" s="8" t="s">
        <v>20</v>
      </c>
      <c r="F65" s="8" t="s">
        <v>20</v>
      </c>
      <c r="G65" s="8" t="s">
        <v>20</v>
      </c>
      <c r="H65" s="8" t="s">
        <v>20</v>
      </c>
      <c r="I65" s="8" t="s">
        <v>20</v>
      </c>
      <c r="J65" s="8" t="s">
        <v>20</v>
      </c>
      <c r="K65" s="8" t="s">
        <v>20</v>
      </c>
      <c r="L65" s="8" t="s">
        <v>20</v>
      </c>
      <c r="M65" s="8" t="s">
        <v>20</v>
      </c>
      <c r="N65" s="8" t="s">
        <v>20</v>
      </c>
      <c r="O65" s="8" t="s">
        <v>20</v>
      </c>
      <c r="P65" s="8" t="s">
        <v>20</v>
      </c>
      <c r="Q65" s="8" t="s">
        <v>20</v>
      </c>
      <c r="R65" s="8" t="s">
        <v>75</v>
      </c>
      <c r="S65" s="8" t="s">
        <v>20</v>
      </c>
      <c r="T65" s="8" t="s">
        <v>20</v>
      </c>
      <c r="U65" s="8" t="s">
        <v>20</v>
      </c>
      <c r="V65" s="3"/>
    </row>
    <row r="66" ht="15.75" customHeight="1">
      <c r="A66" s="4" t="s">
        <v>90</v>
      </c>
      <c r="B66" s="5" t="s">
        <v>20</v>
      </c>
      <c r="C66" s="5" t="s">
        <v>20</v>
      </c>
      <c r="D66" s="5" t="s">
        <v>20</v>
      </c>
      <c r="E66" s="5" t="s">
        <v>20</v>
      </c>
      <c r="F66" s="5" t="s">
        <v>20</v>
      </c>
      <c r="G66" s="5" t="s">
        <v>20</v>
      </c>
      <c r="H66" s="5" t="s">
        <v>20</v>
      </c>
      <c r="I66" s="5" t="s">
        <v>20</v>
      </c>
      <c r="J66" s="5" t="s">
        <v>20</v>
      </c>
      <c r="K66" s="5" t="s">
        <v>20</v>
      </c>
      <c r="L66" s="5" t="s">
        <v>20</v>
      </c>
      <c r="M66" s="5" t="s">
        <v>20</v>
      </c>
      <c r="N66" s="5" t="s">
        <v>20</v>
      </c>
      <c r="O66" s="5" t="s">
        <v>20</v>
      </c>
      <c r="P66" s="5" t="s">
        <v>20</v>
      </c>
      <c r="Q66" s="5" t="s">
        <v>81</v>
      </c>
      <c r="R66" s="5" t="s">
        <v>20</v>
      </c>
      <c r="S66" s="5" t="s">
        <v>53</v>
      </c>
      <c r="T66" s="5" t="s">
        <v>20</v>
      </c>
      <c r="U66" s="5" t="s">
        <v>20</v>
      </c>
      <c r="V66" s="3" t="str">
        <f>HYPERLINK("#مجمع!B" &amp; 14, "ورديات اليوم مجمعة")</f>
        <v>ورديات اليوم مجمعة</v>
      </c>
    </row>
    <row r="67" ht="15.75" customHeight="1">
      <c r="A67" s="6"/>
      <c r="B67" s="5" t="s">
        <v>20</v>
      </c>
      <c r="C67" s="5" t="s">
        <v>20</v>
      </c>
      <c r="D67" s="5" t="s">
        <v>20</v>
      </c>
      <c r="E67" s="5" t="s">
        <v>20</v>
      </c>
      <c r="F67" s="5" t="s">
        <v>20</v>
      </c>
      <c r="G67" s="5" t="s">
        <v>20</v>
      </c>
      <c r="H67" s="5" t="s">
        <v>20</v>
      </c>
      <c r="I67" s="5" t="s">
        <v>20</v>
      </c>
      <c r="J67" s="5" t="s">
        <v>20</v>
      </c>
      <c r="K67" s="5" t="s">
        <v>20</v>
      </c>
      <c r="L67" s="5" t="s">
        <v>20</v>
      </c>
      <c r="M67" s="5" t="s">
        <v>20</v>
      </c>
      <c r="N67" s="5" t="s">
        <v>20</v>
      </c>
      <c r="O67" s="5" t="s">
        <v>20</v>
      </c>
      <c r="P67" s="5" t="s">
        <v>20</v>
      </c>
      <c r="Q67" s="5" t="s">
        <v>61</v>
      </c>
      <c r="R67" s="5" t="s">
        <v>20</v>
      </c>
      <c r="S67" s="5" t="s">
        <v>68</v>
      </c>
      <c r="T67" s="5" t="s">
        <v>20</v>
      </c>
      <c r="U67" s="5" t="s">
        <v>20</v>
      </c>
      <c r="V67" s="3"/>
    </row>
    <row r="68" ht="15.75" customHeight="1">
      <c r="A68" s="6"/>
      <c r="B68" s="5" t="s">
        <v>20</v>
      </c>
      <c r="C68" s="5" t="s">
        <v>20</v>
      </c>
      <c r="D68" s="5" t="s">
        <v>20</v>
      </c>
      <c r="E68" s="5" t="s">
        <v>20</v>
      </c>
      <c r="F68" s="5" t="s">
        <v>20</v>
      </c>
      <c r="G68" s="5" t="s">
        <v>20</v>
      </c>
      <c r="H68" s="5" t="s">
        <v>20</v>
      </c>
      <c r="I68" s="5" t="s">
        <v>20</v>
      </c>
      <c r="J68" s="5" t="s">
        <v>20</v>
      </c>
      <c r="K68" s="5" t="s">
        <v>20</v>
      </c>
      <c r="L68" s="5" t="s">
        <v>20</v>
      </c>
      <c r="M68" s="5" t="s">
        <v>20</v>
      </c>
      <c r="N68" s="5" t="s">
        <v>20</v>
      </c>
      <c r="O68" s="5" t="s">
        <v>20</v>
      </c>
      <c r="P68" s="5" t="s">
        <v>20</v>
      </c>
      <c r="Q68" s="5" t="s">
        <v>71</v>
      </c>
      <c r="R68" s="5" t="s">
        <v>20</v>
      </c>
      <c r="S68" s="5" t="s">
        <v>69</v>
      </c>
      <c r="T68" s="5" t="s">
        <v>20</v>
      </c>
      <c r="U68" s="5" t="s">
        <v>20</v>
      </c>
      <c r="V68" s="3"/>
    </row>
    <row r="69" ht="15.75" customHeight="1">
      <c r="A69" s="7"/>
      <c r="B69" s="8" t="s">
        <v>20</v>
      </c>
      <c r="C69" s="8" t="s">
        <v>20</v>
      </c>
      <c r="D69" s="8" t="s">
        <v>20</v>
      </c>
      <c r="E69" s="8" t="s">
        <v>20</v>
      </c>
      <c r="F69" s="8" t="s">
        <v>20</v>
      </c>
      <c r="G69" s="8" t="s">
        <v>20</v>
      </c>
      <c r="H69" s="8" t="s">
        <v>20</v>
      </c>
      <c r="I69" s="8" t="s">
        <v>20</v>
      </c>
      <c r="J69" s="8" t="s">
        <v>20</v>
      </c>
      <c r="K69" s="8" t="s">
        <v>20</v>
      </c>
      <c r="L69" s="8" t="s">
        <v>20</v>
      </c>
      <c r="M69" s="8" t="s">
        <v>20</v>
      </c>
      <c r="N69" s="8" t="s">
        <v>20</v>
      </c>
      <c r="O69" s="8" t="s">
        <v>20</v>
      </c>
      <c r="P69" s="8" t="s">
        <v>20</v>
      </c>
      <c r="Q69" s="8" t="s">
        <v>48</v>
      </c>
      <c r="R69" s="8" t="s">
        <v>20</v>
      </c>
      <c r="S69" s="8" t="s">
        <v>20</v>
      </c>
      <c r="T69" s="8" t="s">
        <v>20</v>
      </c>
      <c r="U69" s="8" t="s">
        <v>20</v>
      </c>
      <c r="V69" s="3"/>
    </row>
    <row r="70" ht="15.75" customHeight="1">
      <c r="A70" s="4" t="s">
        <v>91</v>
      </c>
      <c r="B70" s="5" t="s">
        <v>20</v>
      </c>
      <c r="C70" s="5" t="s">
        <v>20</v>
      </c>
      <c r="D70" s="5" t="s">
        <v>20</v>
      </c>
      <c r="E70" s="5" t="s">
        <v>20</v>
      </c>
      <c r="F70" s="5" t="s">
        <v>20</v>
      </c>
      <c r="G70" s="5" t="s">
        <v>20</v>
      </c>
      <c r="H70" s="5" t="s">
        <v>20</v>
      </c>
      <c r="I70" s="5" t="s">
        <v>20</v>
      </c>
      <c r="J70" s="5" t="s">
        <v>20</v>
      </c>
      <c r="K70" s="5" t="s">
        <v>20</v>
      </c>
      <c r="L70" s="5" t="s">
        <v>20</v>
      </c>
      <c r="M70" s="5" t="s">
        <v>20</v>
      </c>
      <c r="N70" s="5" t="s">
        <v>20</v>
      </c>
      <c r="O70" s="5" t="s">
        <v>20</v>
      </c>
      <c r="P70" s="5" t="s">
        <v>20</v>
      </c>
      <c r="Q70" s="5" t="s">
        <v>23</v>
      </c>
      <c r="R70" s="5" t="s">
        <v>20</v>
      </c>
      <c r="S70" s="5" t="s">
        <v>36</v>
      </c>
      <c r="T70" s="5" t="s">
        <v>20</v>
      </c>
      <c r="U70" s="5" t="s">
        <v>28</v>
      </c>
      <c r="V70" s="3" t="str">
        <f>HYPERLINK("#مجمع!B" &amp; 15, "ورديات اليوم مجمعة")</f>
        <v>ورديات اليوم مجمعة</v>
      </c>
    </row>
    <row r="71" ht="15.75" customHeight="1">
      <c r="A71" s="6"/>
      <c r="B71" s="5" t="s">
        <v>20</v>
      </c>
      <c r="C71" s="5" t="s">
        <v>20</v>
      </c>
      <c r="D71" s="5" t="s">
        <v>20</v>
      </c>
      <c r="E71" s="5" t="s">
        <v>20</v>
      </c>
      <c r="F71" s="5" t="s">
        <v>20</v>
      </c>
      <c r="G71" s="5" t="s">
        <v>20</v>
      </c>
      <c r="H71" s="5" t="s">
        <v>20</v>
      </c>
      <c r="I71" s="5" t="s">
        <v>20</v>
      </c>
      <c r="J71" s="5" t="s">
        <v>20</v>
      </c>
      <c r="K71" s="5" t="s">
        <v>20</v>
      </c>
      <c r="L71" s="5" t="s">
        <v>20</v>
      </c>
      <c r="M71" s="5" t="s">
        <v>20</v>
      </c>
      <c r="N71" s="5" t="s">
        <v>20</v>
      </c>
      <c r="O71" s="5" t="s">
        <v>20</v>
      </c>
      <c r="P71" s="5" t="s">
        <v>20</v>
      </c>
      <c r="Q71" s="5" t="s">
        <v>63</v>
      </c>
      <c r="R71" s="5" t="s">
        <v>20</v>
      </c>
      <c r="S71" s="5" t="s">
        <v>58</v>
      </c>
      <c r="T71" s="5" t="s">
        <v>20</v>
      </c>
      <c r="U71" s="5" t="s">
        <v>48</v>
      </c>
      <c r="V71" s="3"/>
    </row>
    <row r="72" ht="15.75" customHeight="1">
      <c r="A72" s="6"/>
      <c r="B72" s="5" t="s">
        <v>20</v>
      </c>
      <c r="C72" s="5" t="s">
        <v>20</v>
      </c>
      <c r="D72" s="5" t="s">
        <v>20</v>
      </c>
      <c r="E72" s="5" t="s">
        <v>20</v>
      </c>
      <c r="F72" s="5" t="s">
        <v>20</v>
      </c>
      <c r="G72" s="5" t="s">
        <v>20</v>
      </c>
      <c r="H72" s="5" t="s">
        <v>20</v>
      </c>
      <c r="I72" s="5" t="s">
        <v>20</v>
      </c>
      <c r="J72" s="5" t="s">
        <v>20</v>
      </c>
      <c r="K72" s="5" t="s">
        <v>20</v>
      </c>
      <c r="L72" s="5" t="s">
        <v>20</v>
      </c>
      <c r="M72" s="5" t="s">
        <v>20</v>
      </c>
      <c r="N72" s="5" t="s">
        <v>20</v>
      </c>
      <c r="O72" s="5" t="s">
        <v>20</v>
      </c>
      <c r="P72" s="5" t="s">
        <v>20</v>
      </c>
      <c r="Q72" s="5" t="s">
        <v>26</v>
      </c>
      <c r="R72" s="5" t="s">
        <v>20</v>
      </c>
      <c r="S72" s="5" t="s">
        <v>35</v>
      </c>
      <c r="T72" s="5" t="s">
        <v>20</v>
      </c>
      <c r="U72" s="5" t="s">
        <v>20</v>
      </c>
      <c r="V72" s="3"/>
    </row>
    <row r="73" ht="15.75" customHeight="1">
      <c r="A73" s="7"/>
      <c r="B73" s="8" t="s">
        <v>20</v>
      </c>
      <c r="C73" s="8" t="s">
        <v>20</v>
      </c>
      <c r="D73" s="8" t="s">
        <v>20</v>
      </c>
      <c r="E73" s="8" t="s">
        <v>20</v>
      </c>
      <c r="F73" s="8" t="s">
        <v>20</v>
      </c>
      <c r="G73" s="8" t="s">
        <v>20</v>
      </c>
      <c r="H73" s="8" t="s">
        <v>20</v>
      </c>
      <c r="I73" s="8" t="s">
        <v>20</v>
      </c>
      <c r="J73" s="8" t="s">
        <v>20</v>
      </c>
      <c r="K73" s="8" t="s">
        <v>20</v>
      </c>
      <c r="L73" s="8" t="s">
        <v>20</v>
      </c>
      <c r="M73" s="8" t="s">
        <v>20</v>
      </c>
      <c r="N73" s="8" t="s">
        <v>20</v>
      </c>
      <c r="O73" s="8" t="s">
        <v>20</v>
      </c>
      <c r="P73" s="8" t="s">
        <v>20</v>
      </c>
      <c r="Q73" s="8" t="s">
        <v>56</v>
      </c>
      <c r="R73" s="8" t="s">
        <v>20</v>
      </c>
      <c r="S73" s="8" t="s">
        <v>20</v>
      </c>
      <c r="T73" s="8" t="s">
        <v>20</v>
      </c>
      <c r="U73" s="8" t="s">
        <v>20</v>
      </c>
      <c r="V73" s="3"/>
    </row>
    <row r="74" ht="15.75" customHeight="1">
      <c r="A74" s="4" t="s">
        <v>92</v>
      </c>
      <c r="B74" s="5" t="s">
        <v>20</v>
      </c>
      <c r="C74" s="5" t="s">
        <v>20</v>
      </c>
      <c r="D74" s="5" t="s">
        <v>20</v>
      </c>
      <c r="E74" s="5" t="s">
        <v>20</v>
      </c>
      <c r="F74" s="5" t="s">
        <v>20</v>
      </c>
      <c r="G74" s="5" t="s">
        <v>20</v>
      </c>
      <c r="H74" s="5" t="s">
        <v>20</v>
      </c>
      <c r="I74" s="5" t="s">
        <v>20</v>
      </c>
      <c r="J74" s="5" t="s">
        <v>20</v>
      </c>
      <c r="K74" s="5" t="s">
        <v>20</v>
      </c>
      <c r="L74" s="5" t="s">
        <v>20</v>
      </c>
      <c r="M74" s="5" t="s">
        <v>20</v>
      </c>
      <c r="N74" s="5" t="s">
        <v>20</v>
      </c>
      <c r="O74" s="5" t="s">
        <v>20</v>
      </c>
      <c r="P74" s="5" t="s">
        <v>20</v>
      </c>
      <c r="Q74" s="5" t="s">
        <v>27</v>
      </c>
      <c r="R74" s="5" t="s">
        <v>20</v>
      </c>
      <c r="S74" s="5" t="s">
        <v>32</v>
      </c>
      <c r="T74" s="5" t="s">
        <v>20</v>
      </c>
      <c r="U74" s="5" t="s">
        <v>38</v>
      </c>
      <c r="V74" s="3" t="str">
        <f>HYPERLINK("#مجمع!B" &amp; 16, "ورديات اليوم مجمعة")</f>
        <v>ورديات اليوم مجمعة</v>
      </c>
    </row>
    <row r="75" ht="15.75" customHeight="1">
      <c r="A75" s="6"/>
      <c r="B75" s="5" t="s">
        <v>20</v>
      </c>
      <c r="C75" s="5" t="s">
        <v>20</v>
      </c>
      <c r="D75" s="5" t="s">
        <v>20</v>
      </c>
      <c r="E75" s="5" t="s">
        <v>20</v>
      </c>
      <c r="F75" s="5" t="s">
        <v>20</v>
      </c>
      <c r="G75" s="5" t="s">
        <v>20</v>
      </c>
      <c r="H75" s="5" t="s">
        <v>20</v>
      </c>
      <c r="I75" s="5" t="s">
        <v>20</v>
      </c>
      <c r="J75" s="5" t="s">
        <v>20</v>
      </c>
      <c r="K75" s="5" t="s">
        <v>20</v>
      </c>
      <c r="L75" s="5" t="s">
        <v>20</v>
      </c>
      <c r="M75" s="5" t="s">
        <v>20</v>
      </c>
      <c r="N75" s="5" t="s">
        <v>20</v>
      </c>
      <c r="O75" s="5" t="s">
        <v>20</v>
      </c>
      <c r="P75" s="5" t="s">
        <v>20</v>
      </c>
      <c r="Q75" s="5" t="s">
        <v>70</v>
      </c>
      <c r="R75" s="5" t="s">
        <v>20</v>
      </c>
      <c r="S75" s="5" t="s">
        <v>55</v>
      </c>
      <c r="T75" s="5" t="s">
        <v>20</v>
      </c>
      <c r="U75" s="5" t="s">
        <v>37</v>
      </c>
      <c r="V75" s="3"/>
    </row>
    <row r="76" ht="15.75" customHeight="1">
      <c r="A76" s="6"/>
      <c r="B76" s="5" t="s">
        <v>20</v>
      </c>
      <c r="C76" s="5" t="s">
        <v>20</v>
      </c>
      <c r="D76" s="5" t="s">
        <v>20</v>
      </c>
      <c r="E76" s="5" t="s">
        <v>20</v>
      </c>
      <c r="F76" s="5" t="s">
        <v>20</v>
      </c>
      <c r="G76" s="5" t="s">
        <v>20</v>
      </c>
      <c r="H76" s="5" t="s">
        <v>20</v>
      </c>
      <c r="I76" s="5" t="s">
        <v>20</v>
      </c>
      <c r="J76" s="5" t="s">
        <v>20</v>
      </c>
      <c r="K76" s="5" t="s">
        <v>20</v>
      </c>
      <c r="L76" s="5" t="s">
        <v>20</v>
      </c>
      <c r="M76" s="5" t="s">
        <v>20</v>
      </c>
      <c r="N76" s="5" t="s">
        <v>20</v>
      </c>
      <c r="O76" s="5" t="s">
        <v>20</v>
      </c>
      <c r="P76" s="5" t="s">
        <v>20</v>
      </c>
      <c r="Q76" s="5" t="s">
        <v>21</v>
      </c>
      <c r="R76" s="5" t="s">
        <v>20</v>
      </c>
      <c r="S76" s="5" t="s">
        <v>52</v>
      </c>
      <c r="T76" s="5" t="s">
        <v>20</v>
      </c>
      <c r="U76" s="5" t="s">
        <v>20</v>
      </c>
      <c r="V76" s="3"/>
    </row>
    <row r="77" ht="15.75" customHeight="1">
      <c r="A77" s="7"/>
      <c r="B77" s="8" t="s">
        <v>20</v>
      </c>
      <c r="C77" s="8" t="s">
        <v>20</v>
      </c>
      <c r="D77" s="8" t="s">
        <v>20</v>
      </c>
      <c r="E77" s="8" t="s">
        <v>20</v>
      </c>
      <c r="F77" s="8" t="s">
        <v>20</v>
      </c>
      <c r="G77" s="8" t="s">
        <v>20</v>
      </c>
      <c r="H77" s="8" t="s">
        <v>20</v>
      </c>
      <c r="I77" s="8" t="s">
        <v>20</v>
      </c>
      <c r="J77" s="8" t="s">
        <v>20</v>
      </c>
      <c r="K77" s="8" t="s">
        <v>20</v>
      </c>
      <c r="L77" s="8" t="s">
        <v>20</v>
      </c>
      <c r="M77" s="8" t="s">
        <v>20</v>
      </c>
      <c r="N77" s="8" t="s">
        <v>20</v>
      </c>
      <c r="O77" s="8" t="s">
        <v>20</v>
      </c>
      <c r="P77" s="8" t="s">
        <v>20</v>
      </c>
      <c r="Q77" s="8" t="s">
        <v>57</v>
      </c>
      <c r="R77" s="8" t="s">
        <v>20</v>
      </c>
      <c r="S77" s="8" t="s">
        <v>20</v>
      </c>
      <c r="T77" s="8" t="s">
        <v>20</v>
      </c>
      <c r="U77" s="8" t="s">
        <v>20</v>
      </c>
      <c r="V77" s="3"/>
    </row>
    <row r="78" ht="15.75" customHeight="1">
      <c r="A78" s="4" t="s">
        <v>93</v>
      </c>
      <c r="B78" s="5" t="s">
        <v>20</v>
      </c>
      <c r="C78" s="5" t="s">
        <v>20</v>
      </c>
      <c r="D78" s="5" t="s">
        <v>20</v>
      </c>
      <c r="E78" s="5" t="s">
        <v>20</v>
      </c>
      <c r="F78" s="5" t="s">
        <v>20</v>
      </c>
      <c r="G78" s="5" t="s">
        <v>20</v>
      </c>
      <c r="H78" s="5" t="s">
        <v>20</v>
      </c>
      <c r="I78" s="5" t="s">
        <v>20</v>
      </c>
      <c r="J78" s="5" t="s">
        <v>20</v>
      </c>
      <c r="K78" s="5" t="s">
        <v>20</v>
      </c>
      <c r="L78" s="5" t="s">
        <v>20</v>
      </c>
      <c r="M78" s="5" t="s">
        <v>20</v>
      </c>
      <c r="N78" s="5" t="s">
        <v>20</v>
      </c>
      <c r="O78" s="5" t="s">
        <v>20</v>
      </c>
      <c r="P78" s="5" t="s">
        <v>63</v>
      </c>
      <c r="Q78" s="5" t="s">
        <v>42</v>
      </c>
      <c r="R78" s="5" t="s">
        <v>20</v>
      </c>
      <c r="S78" s="5" t="s">
        <v>22</v>
      </c>
      <c r="T78" s="5" t="s">
        <v>20</v>
      </c>
      <c r="U78" s="5" t="s">
        <v>20</v>
      </c>
      <c r="V78" s="3" t="str">
        <f>HYPERLINK("#مجمع!B" &amp; 17, "ورديات اليوم مجمعة")</f>
        <v>ورديات اليوم مجمعة</v>
      </c>
    </row>
    <row r="79" ht="15.75" customHeight="1">
      <c r="A79" s="6"/>
      <c r="B79" s="5" t="s">
        <v>20</v>
      </c>
      <c r="C79" s="5" t="s">
        <v>20</v>
      </c>
      <c r="D79" s="5" t="s">
        <v>20</v>
      </c>
      <c r="E79" s="5" t="s">
        <v>20</v>
      </c>
      <c r="F79" s="5" t="s">
        <v>20</v>
      </c>
      <c r="G79" s="5" t="s">
        <v>20</v>
      </c>
      <c r="H79" s="5" t="s">
        <v>20</v>
      </c>
      <c r="I79" s="5" t="s">
        <v>20</v>
      </c>
      <c r="J79" s="5" t="s">
        <v>20</v>
      </c>
      <c r="K79" s="5" t="s">
        <v>20</v>
      </c>
      <c r="L79" s="5" t="s">
        <v>20</v>
      </c>
      <c r="M79" s="5" t="s">
        <v>20</v>
      </c>
      <c r="N79" s="5" t="s">
        <v>20</v>
      </c>
      <c r="O79" s="5" t="s">
        <v>20</v>
      </c>
      <c r="P79" s="5" t="s">
        <v>27</v>
      </c>
      <c r="Q79" s="5" t="s">
        <v>43</v>
      </c>
      <c r="R79" s="5" t="s">
        <v>20</v>
      </c>
      <c r="S79" s="5" t="s">
        <v>67</v>
      </c>
      <c r="T79" s="5" t="s">
        <v>20</v>
      </c>
      <c r="U79" s="5" t="s">
        <v>20</v>
      </c>
      <c r="V79" s="3"/>
    </row>
    <row r="80" ht="15.75" customHeight="1">
      <c r="A80" s="7"/>
      <c r="B80" s="8" t="s">
        <v>20</v>
      </c>
      <c r="C80" s="8" t="s">
        <v>20</v>
      </c>
      <c r="D80" s="8" t="s">
        <v>20</v>
      </c>
      <c r="E80" s="8" t="s">
        <v>20</v>
      </c>
      <c r="F80" s="8" t="s">
        <v>20</v>
      </c>
      <c r="G80" s="8" t="s">
        <v>20</v>
      </c>
      <c r="H80" s="8" t="s">
        <v>20</v>
      </c>
      <c r="I80" s="8" t="s">
        <v>20</v>
      </c>
      <c r="J80" s="8" t="s">
        <v>20</v>
      </c>
      <c r="K80" s="8" t="s">
        <v>20</v>
      </c>
      <c r="L80" s="8" t="s">
        <v>20</v>
      </c>
      <c r="M80" s="8" t="s">
        <v>20</v>
      </c>
      <c r="N80" s="8" t="s">
        <v>20</v>
      </c>
      <c r="O80" s="8" t="s">
        <v>20</v>
      </c>
      <c r="P80" s="8" t="s">
        <v>20</v>
      </c>
      <c r="Q80" s="8" t="s">
        <v>73</v>
      </c>
      <c r="R80" s="8" t="s">
        <v>20</v>
      </c>
      <c r="S80" s="8" t="s">
        <v>20</v>
      </c>
      <c r="T80" s="8" t="s">
        <v>20</v>
      </c>
      <c r="U80" s="8" t="s">
        <v>20</v>
      </c>
      <c r="V80" s="3"/>
    </row>
    <row r="81" ht="15.75" customHeight="1">
      <c r="A81" s="4" t="s">
        <v>94</v>
      </c>
      <c r="B81" s="5" t="s">
        <v>85</v>
      </c>
      <c r="C81" s="5" t="s">
        <v>32</v>
      </c>
      <c r="D81" s="5" t="s">
        <v>24</v>
      </c>
      <c r="E81" s="5" t="s">
        <v>49</v>
      </c>
      <c r="F81" s="5" t="s">
        <v>50</v>
      </c>
      <c r="G81" s="5" t="s">
        <v>75</v>
      </c>
      <c r="H81" s="5" t="s">
        <v>42</v>
      </c>
      <c r="I81" s="5" t="s">
        <v>64</v>
      </c>
      <c r="J81" s="5" t="s">
        <v>39</v>
      </c>
      <c r="K81" s="5" t="s">
        <v>95</v>
      </c>
      <c r="L81" s="5" t="s">
        <v>70</v>
      </c>
      <c r="M81" s="5" t="s">
        <v>56</v>
      </c>
      <c r="N81" s="5" t="s">
        <v>43</v>
      </c>
      <c r="O81" s="5" t="s">
        <v>22</v>
      </c>
      <c r="P81" s="5" t="s">
        <v>20</v>
      </c>
      <c r="Q81" s="5" t="s">
        <v>20</v>
      </c>
      <c r="R81" s="5" t="s">
        <v>20</v>
      </c>
      <c r="S81" s="5" t="s">
        <v>20</v>
      </c>
      <c r="T81" s="5" t="s">
        <v>20</v>
      </c>
      <c r="U81" s="5" t="s">
        <v>20</v>
      </c>
      <c r="V81" s="3" t="str">
        <f>HYPERLINK("#مجمع!B" &amp; 18, "ورديات اليوم مجمعة")</f>
        <v>ورديات اليوم مجمعة</v>
      </c>
    </row>
    <row r="82" ht="15.75" customHeight="1">
      <c r="A82" s="6"/>
      <c r="B82" s="5" t="s">
        <v>20</v>
      </c>
      <c r="C82" s="5" t="s">
        <v>20</v>
      </c>
      <c r="D82" s="5" t="s">
        <v>20</v>
      </c>
      <c r="E82" s="5" t="s">
        <v>20</v>
      </c>
      <c r="F82" s="5" t="s">
        <v>20</v>
      </c>
      <c r="G82" s="5" t="s">
        <v>20</v>
      </c>
      <c r="H82" s="5" t="s">
        <v>71</v>
      </c>
      <c r="I82" s="5" t="s">
        <v>72</v>
      </c>
      <c r="J82" s="5" t="s">
        <v>20</v>
      </c>
      <c r="K82" s="5" t="s">
        <v>20</v>
      </c>
      <c r="L82" s="5" t="s">
        <v>21</v>
      </c>
      <c r="M82" s="5" t="s">
        <v>88</v>
      </c>
      <c r="N82" s="5" t="s">
        <v>35</v>
      </c>
      <c r="O82" s="5" t="s">
        <v>67</v>
      </c>
      <c r="P82" s="5" t="s">
        <v>20</v>
      </c>
      <c r="Q82" s="5" t="s">
        <v>20</v>
      </c>
      <c r="R82" s="5" t="s">
        <v>20</v>
      </c>
      <c r="S82" s="5" t="s">
        <v>20</v>
      </c>
      <c r="T82" s="5" t="s">
        <v>20</v>
      </c>
      <c r="U82" s="5" t="s">
        <v>20</v>
      </c>
      <c r="V82" s="3"/>
    </row>
    <row r="83" ht="15.75" customHeight="1">
      <c r="A83" s="6"/>
      <c r="B83" s="5" t="s">
        <v>20</v>
      </c>
      <c r="C83" s="5" t="s">
        <v>20</v>
      </c>
      <c r="D83" s="5" t="s">
        <v>20</v>
      </c>
      <c r="E83" s="5" t="s">
        <v>20</v>
      </c>
      <c r="F83" s="5" t="s">
        <v>20</v>
      </c>
      <c r="G83" s="5" t="s">
        <v>20</v>
      </c>
      <c r="H83" s="5" t="s">
        <v>45</v>
      </c>
      <c r="I83" s="5" t="s">
        <v>55</v>
      </c>
      <c r="J83" s="5" t="s">
        <v>20</v>
      </c>
      <c r="K83" s="5" t="s">
        <v>20</v>
      </c>
      <c r="L83" s="5" t="s">
        <v>37</v>
      </c>
      <c r="M83" s="5" t="s">
        <v>77</v>
      </c>
      <c r="N83" s="5" t="s">
        <v>57</v>
      </c>
      <c r="O83" s="5" t="s">
        <v>33</v>
      </c>
      <c r="P83" s="5" t="s">
        <v>20</v>
      </c>
      <c r="Q83" s="5" t="s">
        <v>20</v>
      </c>
      <c r="R83" s="5" t="s">
        <v>20</v>
      </c>
      <c r="S83" s="5" t="s">
        <v>20</v>
      </c>
      <c r="T83" s="5" t="s">
        <v>20</v>
      </c>
      <c r="U83" s="5" t="s">
        <v>20</v>
      </c>
      <c r="V83" s="3"/>
    </row>
    <row r="84" ht="15.75" customHeight="1">
      <c r="A84" s="6"/>
      <c r="B84" s="5" t="s">
        <v>20</v>
      </c>
      <c r="C84" s="5" t="s">
        <v>20</v>
      </c>
      <c r="D84" s="5" t="s">
        <v>20</v>
      </c>
      <c r="E84" s="5" t="s">
        <v>20</v>
      </c>
      <c r="F84" s="5" t="s">
        <v>20</v>
      </c>
      <c r="G84" s="5" t="s">
        <v>20</v>
      </c>
      <c r="H84" s="5" t="s">
        <v>34</v>
      </c>
      <c r="I84" s="5" t="s">
        <v>29</v>
      </c>
      <c r="J84" s="5" t="s">
        <v>20</v>
      </c>
      <c r="K84" s="5" t="s">
        <v>20</v>
      </c>
      <c r="L84" s="5" t="s">
        <v>23</v>
      </c>
      <c r="M84" s="5" t="s">
        <v>66</v>
      </c>
      <c r="N84" s="5" t="s">
        <v>48</v>
      </c>
      <c r="O84" s="5" t="s">
        <v>53</v>
      </c>
      <c r="P84" s="5" t="s">
        <v>20</v>
      </c>
      <c r="Q84" s="5" t="s">
        <v>20</v>
      </c>
      <c r="R84" s="5" t="s">
        <v>20</v>
      </c>
      <c r="S84" s="5" t="s">
        <v>20</v>
      </c>
      <c r="T84" s="5" t="s">
        <v>20</v>
      </c>
      <c r="U84" s="5" t="s">
        <v>20</v>
      </c>
      <c r="V84" s="3"/>
    </row>
    <row r="85" ht="15.75" customHeight="1">
      <c r="A85" s="6"/>
      <c r="B85" s="5" t="s">
        <v>20</v>
      </c>
      <c r="C85" s="5" t="s">
        <v>20</v>
      </c>
      <c r="D85" s="5" t="s">
        <v>20</v>
      </c>
      <c r="E85" s="5" t="s">
        <v>20</v>
      </c>
      <c r="F85" s="5" t="s">
        <v>20</v>
      </c>
      <c r="G85" s="5" t="s">
        <v>20</v>
      </c>
      <c r="H85" s="5" t="s">
        <v>36</v>
      </c>
      <c r="I85" s="5" t="s">
        <v>41</v>
      </c>
      <c r="J85" s="5" t="s">
        <v>20</v>
      </c>
      <c r="K85" s="5" t="s">
        <v>20</v>
      </c>
      <c r="L85" s="5" t="s">
        <v>60</v>
      </c>
      <c r="M85" s="5" t="s">
        <v>63</v>
      </c>
      <c r="N85" s="5" t="s">
        <v>20</v>
      </c>
      <c r="O85" s="5" t="s">
        <v>20</v>
      </c>
      <c r="P85" s="5" t="s">
        <v>20</v>
      </c>
      <c r="Q85" s="5" t="s">
        <v>20</v>
      </c>
      <c r="R85" s="5" t="s">
        <v>20</v>
      </c>
      <c r="S85" s="5" t="s">
        <v>20</v>
      </c>
      <c r="T85" s="5" t="s">
        <v>20</v>
      </c>
      <c r="U85" s="5" t="s">
        <v>20</v>
      </c>
      <c r="V85" s="3"/>
    </row>
    <row r="86" ht="15.75" customHeight="1">
      <c r="A86" s="6"/>
      <c r="B86" s="5" t="s">
        <v>20</v>
      </c>
      <c r="C86" s="5" t="s">
        <v>20</v>
      </c>
      <c r="D86" s="5" t="s">
        <v>20</v>
      </c>
      <c r="E86" s="5" t="s">
        <v>20</v>
      </c>
      <c r="F86" s="5" t="s">
        <v>20</v>
      </c>
      <c r="G86" s="5" t="s">
        <v>20</v>
      </c>
      <c r="H86" s="5" t="s">
        <v>47</v>
      </c>
      <c r="I86" s="5" t="s">
        <v>25</v>
      </c>
      <c r="J86" s="5" t="s">
        <v>20</v>
      </c>
      <c r="K86" s="5" t="s">
        <v>20</v>
      </c>
      <c r="L86" s="5" t="s">
        <v>31</v>
      </c>
      <c r="M86" s="5" t="s">
        <v>78</v>
      </c>
      <c r="N86" s="5" t="s">
        <v>20</v>
      </c>
      <c r="O86" s="5" t="s">
        <v>20</v>
      </c>
      <c r="P86" s="5" t="s">
        <v>20</v>
      </c>
      <c r="Q86" s="5" t="s">
        <v>20</v>
      </c>
      <c r="R86" s="5" t="s">
        <v>20</v>
      </c>
      <c r="S86" s="5" t="s">
        <v>20</v>
      </c>
      <c r="T86" s="5" t="s">
        <v>20</v>
      </c>
      <c r="U86" s="5" t="s">
        <v>20</v>
      </c>
      <c r="V86" s="3"/>
    </row>
    <row r="87" ht="15.75" customHeight="1">
      <c r="A87" s="6"/>
      <c r="B87" s="5" t="s">
        <v>20</v>
      </c>
      <c r="C87" s="5" t="s">
        <v>20</v>
      </c>
      <c r="D87" s="5" t="s">
        <v>20</v>
      </c>
      <c r="E87" s="5" t="s">
        <v>20</v>
      </c>
      <c r="F87" s="5" t="s">
        <v>20</v>
      </c>
      <c r="G87" s="5" t="s">
        <v>20</v>
      </c>
      <c r="H87" s="5" t="s">
        <v>73</v>
      </c>
      <c r="I87" s="5" t="s">
        <v>68</v>
      </c>
      <c r="J87" s="5" t="s">
        <v>20</v>
      </c>
      <c r="K87" s="5" t="s">
        <v>20</v>
      </c>
      <c r="L87" s="5" t="s">
        <v>78</v>
      </c>
      <c r="M87" s="5" t="s">
        <v>61</v>
      </c>
      <c r="N87" s="5" t="s">
        <v>20</v>
      </c>
      <c r="O87" s="5" t="s">
        <v>20</v>
      </c>
      <c r="P87" s="5" t="s">
        <v>20</v>
      </c>
      <c r="Q87" s="5" t="s">
        <v>20</v>
      </c>
      <c r="R87" s="5" t="s">
        <v>20</v>
      </c>
      <c r="S87" s="5" t="s">
        <v>20</v>
      </c>
      <c r="T87" s="5" t="s">
        <v>20</v>
      </c>
      <c r="U87" s="5" t="s">
        <v>20</v>
      </c>
      <c r="V87" s="3"/>
    </row>
    <row r="88" ht="15.75" customHeight="1">
      <c r="A88" s="7"/>
      <c r="B88" s="8" t="s">
        <v>20</v>
      </c>
      <c r="C88" s="8" t="s">
        <v>20</v>
      </c>
      <c r="D88" s="8" t="s">
        <v>20</v>
      </c>
      <c r="E88" s="8" t="s">
        <v>20</v>
      </c>
      <c r="F88" s="8" t="s">
        <v>20</v>
      </c>
      <c r="G88" s="8" t="s">
        <v>20</v>
      </c>
      <c r="H88" s="8" t="s">
        <v>74</v>
      </c>
      <c r="I88" s="8" t="s">
        <v>51</v>
      </c>
      <c r="J88" s="8" t="s">
        <v>20</v>
      </c>
      <c r="K88" s="8" t="s">
        <v>20</v>
      </c>
      <c r="L88" s="8" t="s">
        <v>20</v>
      </c>
      <c r="M88" s="8" t="s">
        <v>20</v>
      </c>
      <c r="N88" s="8" t="s">
        <v>20</v>
      </c>
      <c r="O88" s="8" t="s">
        <v>20</v>
      </c>
      <c r="P88" s="8" t="s">
        <v>20</v>
      </c>
      <c r="Q88" s="8" t="s">
        <v>20</v>
      </c>
      <c r="R88" s="8" t="s">
        <v>20</v>
      </c>
      <c r="S88" s="8" t="s">
        <v>20</v>
      </c>
      <c r="T88" s="8" t="s">
        <v>20</v>
      </c>
      <c r="U88" s="8" t="s">
        <v>20</v>
      </c>
      <c r="V88" s="3"/>
    </row>
    <row r="89" ht="15.75" customHeight="1">
      <c r="A89" s="4" t="s">
        <v>96</v>
      </c>
      <c r="B89" s="5" t="s">
        <v>20</v>
      </c>
      <c r="C89" s="5" t="s">
        <v>20</v>
      </c>
      <c r="D89" s="5" t="s">
        <v>20</v>
      </c>
      <c r="E89" s="5" t="s">
        <v>20</v>
      </c>
      <c r="F89" s="5" t="s">
        <v>20</v>
      </c>
      <c r="G89" s="5" t="s">
        <v>20</v>
      </c>
      <c r="H89" s="5" t="s">
        <v>20</v>
      </c>
      <c r="I89" s="5" t="s">
        <v>20</v>
      </c>
      <c r="J89" s="5" t="s">
        <v>20</v>
      </c>
      <c r="K89" s="5" t="s">
        <v>20</v>
      </c>
      <c r="L89" s="5" t="s">
        <v>20</v>
      </c>
      <c r="M89" s="5" t="s">
        <v>20</v>
      </c>
      <c r="N89" s="5" t="s">
        <v>20</v>
      </c>
      <c r="O89" s="5" t="s">
        <v>20</v>
      </c>
      <c r="P89" s="5" t="s">
        <v>20</v>
      </c>
      <c r="Q89" s="5" t="s">
        <v>51</v>
      </c>
      <c r="R89" s="5" t="s">
        <v>20</v>
      </c>
      <c r="S89" s="5" t="s">
        <v>72</v>
      </c>
      <c r="T89" s="5" t="s">
        <v>20</v>
      </c>
      <c r="U89" s="5" t="s">
        <v>20</v>
      </c>
      <c r="V89" s="3" t="str">
        <f>HYPERLINK("#مجمع!B" &amp; 19, "ورديات اليوم مجمعة")</f>
        <v>ورديات اليوم مجمعة</v>
      </c>
    </row>
    <row r="90" ht="15.75" customHeight="1">
      <c r="A90" s="6"/>
      <c r="B90" s="5" t="s">
        <v>20</v>
      </c>
      <c r="C90" s="5" t="s">
        <v>20</v>
      </c>
      <c r="D90" s="5" t="s">
        <v>20</v>
      </c>
      <c r="E90" s="5" t="s">
        <v>20</v>
      </c>
      <c r="F90" s="5" t="s">
        <v>20</v>
      </c>
      <c r="G90" s="5" t="s">
        <v>20</v>
      </c>
      <c r="H90" s="5" t="s">
        <v>20</v>
      </c>
      <c r="I90" s="5" t="s">
        <v>20</v>
      </c>
      <c r="J90" s="5" t="s">
        <v>20</v>
      </c>
      <c r="K90" s="5" t="s">
        <v>20</v>
      </c>
      <c r="L90" s="5" t="s">
        <v>20</v>
      </c>
      <c r="M90" s="5" t="s">
        <v>20</v>
      </c>
      <c r="N90" s="5" t="s">
        <v>20</v>
      </c>
      <c r="O90" s="5" t="s">
        <v>20</v>
      </c>
      <c r="P90" s="5" t="s">
        <v>20</v>
      </c>
      <c r="Q90" s="5" t="s">
        <v>62</v>
      </c>
      <c r="R90" s="5" t="s">
        <v>20</v>
      </c>
      <c r="S90" s="5" t="s">
        <v>85</v>
      </c>
      <c r="T90" s="5" t="s">
        <v>20</v>
      </c>
      <c r="U90" s="5" t="s">
        <v>20</v>
      </c>
      <c r="V90" s="3"/>
    </row>
    <row r="91" ht="15.75" customHeight="1">
      <c r="A91" s="6"/>
      <c r="B91" s="5" t="s">
        <v>20</v>
      </c>
      <c r="C91" s="5" t="s">
        <v>20</v>
      </c>
      <c r="D91" s="5" t="s">
        <v>20</v>
      </c>
      <c r="E91" s="5" t="s">
        <v>20</v>
      </c>
      <c r="F91" s="5" t="s">
        <v>20</v>
      </c>
      <c r="G91" s="5" t="s">
        <v>20</v>
      </c>
      <c r="H91" s="5" t="s">
        <v>20</v>
      </c>
      <c r="I91" s="5" t="s">
        <v>20</v>
      </c>
      <c r="J91" s="5" t="s">
        <v>20</v>
      </c>
      <c r="K91" s="5" t="s">
        <v>20</v>
      </c>
      <c r="L91" s="5" t="s">
        <v>20</v>
      </c>
      <c r="M91" s="5" t="s">
        <v>20</v>
      </c>
      <c r="N91" s="5" t="s">
        <v>20</v>
      </c>
      <c r="O91" s="5" t="s">
        <v>20</v>
      </c>
      <c r="P91" s="5" t="s">
        <v>20</v>
      </c>
      <c r="Q91" s="5" t="s">
        <v>49</v>
      </c>
      <c r="R91" s="5" t="s">
        <v>20</v>
      </c>
      <c r="S91" s="5" t="s">
        <v>24</v>
      </c>
      <c r="T91" s="5" t="s">
        <v>20</v>
      </c>
      <c r="U91" s="5" t="s">
        <v>20</v>
      </c>
      <c r="V91" s="3"/>
    </row>
    <row r="92" ht="15.75" customHeight="1">
      <c r="A92" s="6"/>
      <c r="B92" s="5" t="s">
        <v>20</v>
      </c>
      <c r="C92" s="5" t="s">
        <v>20</v>
      </c>
      <c r="D92" s="5" t="s">
        <v>20</v>
      </c>
      <c r="E92" s="5" t="s">
        <v>20</v>
      </c>
      <c r="F92" s="5" t="s">
        <v>20</v>
      </c>
      <c r="G92" s="5" t="s">
        <v>20</v>
      </c>
      <c r="H92" s="5" t="s">
        <v>20</v>
      </c>
      <c r="I92" s="5" t="s">
        <v>20</v>
      </c>
      <c r="J92" s="5" t="s">
        <v>20</v>
      </c>
      <c r="K92" s="5" t="s">
        <v>20</v>
      </c>
      <c r="L92" s="5" t="s">
        <v>20</v>
      </c>
      <c r="M92" s="5" t="s">
        <v>20</v>
      </c>
      <c r="N92" s="5" t="s">
        <v>20</v>
      </c>
      <c r="O92" s="5" t="s">
        <v>20</v>
      </c>
      <c r="P92" s="5" t="s">
        <v>20</v>
      </c>
      <c r="Q92" s="5" t="s">
        <v>95</v>
      </c>
      <c r="R92" s="5" t="s">
        <v>20</v>
      </c>
      <c r="S92" s="5" t="s">
        <v>97</v>
      </c>
      <c r="T92" s="5" t="s">
        <v>20</v>
      </c>
      <c r="U92" s="5" t="s">
        <v>20</v>
      </c>
      <c r="V92" s="3"/>
    </row>
    <row r="93" ht="15.75" customHeight="1">
      <c r="A93" s="6"/>
      <c r="B93" s="5" t="s">
        <v>20</v>
      </c>
      <c r="C93" s="5" t="s">
        <v>20</v>
      </c>
      <c r="D93" s="5" t="s">
        <v>20</v>
      </c>
      <c r="E93" s="5" t="s">
        <v>20</v>
      </c>
      <c r="F93" s="5" t="s">
        <v>20</v>
      </c>
      <c r="G93" s="5" t="s">
        <v>20</v>
      </c>
      <c r="H93" s="5" t="s">
        <v>20</v>
      </c>
      <c r="I93" s="5" t="s">
        <v>20</v>
      </c>
      <c r="J93" s="5" t="s">
        <v>20</v>
      </c>
      <c r="K93" s="5" t="s">
        <v>20</v>
      </c>
      <c r="L93" s="5" t="s">
        <v>20</v>
      </c>
      <c r="M93" s="5" t="s">
        <v>20</v>
      </c>
      <c r="N93" s="5" t="s">
        <v>20</v>
      </c>
      <c r="O93" s="5" t="s">
        <v>20</v>
      </c>
      <c r="P93" s="5" t="s">
        <v>20</v>
      </c>
      <c r="Q93" s="5" t="s">
        <v>98</v>
      </c>
      <c r="R93" s="5" t="s">
        <v>20</v>
      </c>
      <c r="S93" s="5" t="s">
        <v>20</v>
      </c>
      <c r="T93" s="5" t="s">
        <v>20</v>
      </c>
      <c r="U93" s="5" t="s">
        <v>20</v>
      </c>
      <c r="V93" s="3"/>
    </row>
    <row r="94" ht="15.75" customHeight="1">
      <c r="A94" s="6"/>
      <c r="B94" s="5" t="s">
        <v>20</v>
      </c>
      <c r="C94" s="5" t="s">
        <v>20</v>
      </c>
      <c r="D94" s="5" t="s">
        <v>20</v>
      </c>
      <c r="E94" s="5" t="s">
        <v>20</v>
      </c>
      <c r="F94" s="5" t="s">
        <v>20</v>
      </c>
      <c r="G94" s="5" t="s">
        <v>20</v>
      </c>
      <c r="H94" s="5" t="s">
        <v>20</v>
      </c>
      <c r="I94" s="5" t="s">
        <v>20</v>
      </c>
      <c r="J94" s="5" t="s">
        <v>20</v>
      </c>
      <c r="K94" s="5" t="s">
        <v>20</v>
      </c>
      <c r="L94" s="5" t="s">
        <v>20</v>
      </c>
      <c r="M94" s="5" t="s">
        <v>20</v>
      </c>
      <c r="N94" s="5" t="s">
        <v>20</v>
      </c>
      <c r="O94" s="5" t="s">
        <v>20</v>
      </c>
      <c r="P94" s="5" t="s">
        <v>20</v>
      </c>
      <c r="Q94" s="5" t="s">
        <v>99</v>
      </c>
      <c r="R94" s="5" t="s">
        <v>20</v>
      </c>
      <c r="S94" s="5" t="s">
        <v>20</v>
      </c>
      <c r="T94" s="5" t="s">
        <v>20</v>
      </c>
      <c r="U94" s="5" t="s">
        <v>20</v>
      </c>
      <c r="V94" s="3"/>
    </row>
    <row r="95" ht="15.75" customHeight="1">
      <c r="A95" s="7"/>
      <c r="B95" s="8" t="s">
        <v>20</v>
      </c>
      <c r="C95" s="8" t="s">
        <v>20</v>
      </c>
      <c r="D95" s="8" t="s">
        <v>20</v>
      </c>
      <c r="E95" s="8" t="s">
        <v>20</v>
      </c>
      <c r="F95" s="8" t="s">
        <v>20</v>
      </c>
      <c r="G95" s="8" t="s">
        <v>20</v>
      </c>
      <c r="H95" s="8" t="s">
        <v>20</v>
      </c>
      <c r="I95" s="8" t="s">
        <v>20</v>
      </c>
      <c r="J95" s="8" t="s">
        <v>20</v>
      </c>
      <c r="K95" s="8" t="s">
        <v>20</v>
      </c>
      <c r="L95" s="8" t="s">
        <v>20</v>
      </c>
      <c r="M95" s="8" t="s">
        <v>20</v>
      </c>
      <c r="N95" s="8" t="s">
        <v>20</v>
      </c>
      <c r="O95" s="8" t="s">
        <v>20</v>
      </c>
      <c r="P95" s="8" t="s">
        <v>20</v>
      </c>
      <c r="Q95" s="8" t="s">
        <v>97</v>
      </c>
      <c r="R95" s="8" t="s">
        <v>20</v>
      </c>
      <c r="S95" s="8" t="s">
        <v>20</v>
      </c>
      <c r="T95" s="8" t="s">
        <v>20</v>
      </c>
      <c r="U95" s="8" t="s">
        <v>20</v>
      </c>
      <c r="V95" s="3"/>
    </row>
    <row r="96" ht="15.75" customHeight="1">
      <c r="A96" s="4" t="s">
        <v>100</v>
      </c>
      <c r="B96" s="5" t="s">
        <v>20</v>
      </c>
      <c r="C96" s="5" t="s">
        <v>20</v>
      </c>
      <c r="D96" s="5" t="s">
        <v>20</v>
      </c>
      <c r="E96" s="5" t="s">
        <v>20</v>
      </c>
      <c r="F96" s="5" t="s">
        <v>20</v>
      </c>
      <c r="G96" s="5" t="s">
        <v>20</v>
      </c>
      <c r="H96" s="5" t="s">
        <v>20</v>
      </c>
      <c r="I96" s="5" t="s">
        <v>20</v>
      </c>
      <c r="J96" s="5" t="s">
        <v>20</v>
      </c>
      <c r="K96" s="5" t="s">
        <v>20</v>
      </c>
      <c r="L96" s="5" t="s">
        <v>20</v>
      </c>
      <c r="M96" s="5" t="s">
        <v>20</v>
      </c>
      <c r="N96" s="5" t="s">
        <v>20</v>
      </c>
      <c r="O96" s="5" t="s">
        <v>20</v>
      </c>
      <c r="P96" s="5" t="s">
        <v>20</v>
      </c>
      <c r="Q96" s="5" t="s">
        <v>20</v>
      </c>
      <c r="R96" s="5" t="s">
        <v>31</v>
      </c>
      <c r="S96" s="5" t="s">
        <v>20</v>
      </c>
      <c r="T96" s="5" t="s">
        <v>47</v>
      </c>
      <c r="U96" s="5" t="s">
        <v>20</v>
      </c>
      <c r="V96" s="3" t="str">
        <f>HYPERLINK("#مجمع!B" &amp; 20, "ورديات اليوم مجمعة")</f>
        <v>ورديات اليوم مجمعة</v>
      </c>
    </row>
    <row r="97" ht="15.75" customHeight="1">
      <c r="A97" s="6"/>
      <c r="B97" s="5" t="s">
        <v>20</v>
      </c>
      <c r="C97" s="5" t="s">
        <v>20</v>
      </c>
      <c r="D97" s="5" t="s">
        <v>20</v>
      </c>
      <c r="E97" s="5" t="s">
        <v>20</v>
      </c>
      <c r="F97" s="5" t="s">
        <v>20</v>
      </c>
      <c r="G97" s="5" t="s">
        <v>20</v>
      </c>
      <c r="H97" s="5" t="s">
        <v>20</v>
      </c>
      <c r="I97" s="5" t="s">
        <v>20</v>
      </c>
      <c r="J97" s="5" t="s">
        <v>20</v>
      </c>
      <c r="K97" s="5" t="s">
        <v>20</v>
      </c>
      <c r="L97" s="5" t="s">
        <v>20</v>
      </c>
      <c r="M97" s="5" t="s">
        <v>20</v>
      </c>
      <c r="N97" s="5" t="s">
        <v>20</v>
      </c>
      <c r="O97" s="5" t="s">
        <v>20</v>
      </c>
      <c r="P97" s="5" t="s">
        <v>20</v>
      </c>
      <c r="Q97" s="5" t="s">
        <v>20</v>
      </c>
      <c r="R97" s="5" t="s">
        <v>67</v>
      </c>
      <c r="S97" s="5" t="s">
        <v>20</v>
      </c>
      <c r="T97" s="5" t="s">
        <v>57</v>
      </c>
      <c r="U97" s="5" t="s">
        <v>20</v>
      </c>
      <c r="V97" s="3"/>
    </row>
    <row r="98" ht="15.75" customHeight="1">
      <c r="A98" s="6"/>
      <c r="B98" s="5" t="s">
        <v>20</v>
      </c>
      <c r="C98" s="5" t="s">
        <v>20</v>
      </c>
      <c r="D98" s="5" t="s">
        <v>20</v>
      </c>
      <c r="E98" s="5" t="s">
        <v>20</v>
      </c>
      <c r="F98" s="5" t="s">
        <v>20</v>
      </c>
      <c r="G98" s="5" t="s">
        <v>20</v>
      </c>
      <c r="H98" s="5" t="s">
        <v>20</v>
      </c>
      <c r="I98" s="5" t="s">
        <v>20</v>
      </c>
      <c r="J98" s="5" t="s">
        <v>20</v>
      </c>
      <c r="K98" s="5" t="s">
        <v>20</v>
      </c>
      <c r="L98" s="5" t="s">
        <v>20</v>
      </c>
      <c r="M98" s="5" t="s">
        <v>20</v>
      </c>
      <c r="N98" s="5" t="s">
        <v>20</v>
      </c>
      <c r="O98" s="5" t="s">
        <v>20</v>
      </c>
      <c r="P98" s="5" t="s">
        <v>20</v>
      </c>
      <c r="Q98" s="5" t="s">
        <v>20</v>
      </c>
      <c r="R98" s="5" t="s">
        <v>34</v>
      </c>
      <c r="S98" s="5" t="s">
        <v>20</v>
      </c>
      <c r="T98" s="5" t="s">
        <v>64</v>
      </c>
      <c r="U98" s="5" t="s">
        <v>20</v>
      </c>
      <c r="V98" s="3"/>
    </row>
    <row r="99" ht="15.75" customHeight="1">
      <c r="A99" s="7"/>
      <c r="B99" s="8" t="s">
        <v>20</v>
      </c>
      <c r="C99" s="8" t="s">
        <v>20</v>
      </c>
      <c r="D99" s="8" t="s">
        <v>20</v>
      </c>
      <c r="E99" s="8" t="s">
        <v>20</v>
      </c>
      <c r="F99" s="8" t="s">
        <v>20</v>
      </c>
      <c r="G99" s="8" t="s">
        <v>20</v>
      </c>
      <c r="H99" s="8" t="s">
        <v>20</v>
      </c>
      <c r="I99" s="8" t="s">
        <v>20</v>
      </c>
      <c r="J99" s="8" t="s">
        <v>20</v>
      </c>
      <c r="K99" s="8" t="s">
        <v>20</v>
      </c>
      <c r="L99" s="8" t="s">
        <v>20</v>
      </c>
      <c r="M99" s="8" t="s">
        <v>20</v>
      </c>
      <c r="N99" s="8" t="s">
        <v>20</v>
      </c>
      <c r="O99" s="8" t="s">
        <v>20</v>
      </c>
      <c r="P99" s="8" t="s">
        <v>20</v>
      </c>
      <c r="Q99" s="8" t="s">
        <v>20</v>
      </c>
      <c r="R99" s="8" t="s">
        <v>60</v>
      </c>
      <c r="S99" s="8" t="s">
        <v>20</v>
      </c>
      <c r="T99" s="8" t="s">
        <v>20</v>
      </c>
      <c r="U99" s="8" t="s">
        <v>20</v>
      </c>
      <c r="V99" s="3"/>
    </row>
    <row r="100" ht="15.75" customHeight="1">
      <c r="A100" s="4" t="s">
        <v>101</v>
      </c>
      <c r="B100" s="5" t="s">
        <v>20</v>
      </c>
      <c r="C100" s="5" t="s">
        <v>20</v>
      </c>
      <c r="D100" s="5" t="s">
        <v>20</v>
      </c>
      <c r="E100" s="5" t="s">
        <v>20</v>
      </c>
      <c r="F100" s="5" t="s">
        <v>20</v>
      </c>
      <c r="G100" s="5" t="s">
        <v>20</v>
      </c>
      <c r="H100" s="5" t="s">
        <v>20</v>
      </c>
      <c r="I100" s="5" t="s">
        <v>20</v>
      </c>
      <c r="J100" s="5" t="s">
        <v>20</v>
      </c>
      <c r="K100" s="5" t="s">
        <v>20</v>
      </c>
      <c r="L100" s="5" t="s">
        <v>20</v>
      </c>
      <c r="M100" s="5" t="s">
        <v>20</v>
      </c>
      <c r="N100" s="5" t="s">
        <v>20</v>
      </c>
      <c r="O100" s="5" t="s">
        <v>20</v>
      </c>
      <c r="P100" s="5" t="s">
        <v>20</v>
      </c>
      <c r="Q100" s="5" t="s">
        <v>62</v>
      </c>
      <c r="R100" s="5" t="s">
        <v>20</v>
      </c>
      <c r="S100" s="5" t="s">
        <v>59</v>
      </c>
      <c r="T100" s="5" t="s">
        <v>20</v>
      </c>
      <c r="U100" s="5" t="s">
        <v>20</v>
      </c>
      <c r="V100" s="3" t="str">
        <f>HYPERLINK("#مجمع!B" &amp; 21, "ورديات اليوم مجمعة")</f>
        <v>ورديات اليوم مجمعة</v>
      </c>
    </row>
    <row r="101" ht="15.75" customHeight="1">
      <c r="A101" s="6"/>
      <c r="B101" s="5" t="s">
        <v>20</v>
      </c>
      <c r="C101" s="5" t="s">
        <v>20</v>
      </c>
      <c r="D101" s="5" t="s">
        <v>20</v>
      </c>
      <c r="E101" s="5" t="s">
        <v>20</v>
      </c>
      <c r="F101" s="5" t="s">
        <v>20</v>
      </c>
      <c r="G101" s="5" t="s">
        <v>20</v>
      </c>
      <c r="H101" s="5" t="s">
        <v>20</v>
      </c>
      <c r="I101" s="5" t="s">
        <v>20</v>
      </c>
      <c r="J101" s="5" t="s">
        <v>20</v>
      </c>
      <c r="K101" s="5" t="s">
        <v>20</v>
      </c>
      <c r="L101" s="5" t="s">
        <v>20</v>
      </c>
      <c r="M101" s="5" t="s">
        <v>20</v>
      </c>
      <c r="N101" s="5" t="s">
        <v>20</v>
      </c>
      <c r="O101" s="5" t="s">
        <v>20</v>
      </c>
      <c r="P101" s="5" t="s">
        <v>20</v>
      </c>
      <c r="Q101" s="5" t="s">
        <v>54</v>
      </c>
      <c r="R101" s="5" t="s">
        <v>20</v>
      </c>
      <c r="S101" s="5" t="s">
        <v>65</v>
      </c>
      <c r="T101" s="5" t="s">
        <v>20</v>
      </c>
      <c r="U101" s="5" t="s">
        <v>20</v>
      </c>
      <c r="V101" s="3"/>
    </row>
    <row r="102" ht="15.75" customHeight="1">
      <c r="A102" s="6"/>
      <c r="B102" s="5" t="s">
        <v>20</v>
      </c>
      <c r="C102" s="5" t="s">
        <v>20</v>
      </c>
      <c r="D102" s="5" t="s">
        <v>20</v>
      </c>
      <c r="E102" s="5" t="s">
        <v>20</v>
      </c>
      <c r="F102" s="5" t="s">
        <v>20</v>
      </c>
      <c r="G102" s="5" t="s">
        <v>20</v>
      </c>
      <c r="H102" s="5" t="s">
        <v>20</v>
      </c>
      <c r="I102" s="5" t="s">
        <v>20</v>
      </c>
      <c r="J102" s="5" t="s">
        <v>20</v>
      </c>
      <c r="K102" s="5" t="s">
        <v>20</v>
      </c>
      <c r="L102" s="5" t="s">
        <v>20</v>
      </c>
      <c r="M102" s="5" t="s">
        <v>20</v>
      </c>
      <c r="N102" s="5" t="s">
        <v>20</v>
      </c>
      <c r="O102" s="5" t="s">
        <v>20</v>
      </c>
      <c r="P102" s="5" t="s">
        <v>20</v>
      </c>
      <c r="Q102" s="5" t="s">
        <v>50</v>
      </c>
      <c r="R102" s="5" t="s">
        <v>20</v>
      </c>
      <c r="S102" s="5" t="s">
        <v>41</v>
      </c>
      <c r="T102" s="5" t="s">
        <v>20</v>
      </c>
      <c r="U102" s="5" t="s">
        <v>20</v>
      </c>
      <c r="V102" s="3"/>
    </row>
    <row r="103" ht="15.75" customHeight="1">
      <c r="A103" s="7"/>
      <c r="B103" s="8" t="s">
        <v>20</v>
      </c>
      <c r="C103" s="8" t="s">
        <v>20</v>
      </c>
      <c r="D103" s="8" t="s">
        <v>20</v>
      </c>
      <c r="E103" s="8" t="s">
        <v>20</v>
      </c>
      <c r="F103" s="8" t="s">
        <v>20</v>
      </c>
      <c r="G103" s="8" t="s">
        <v>20</v>
      </c>
      <c r="H103" s="8" t="s">
        <v>20</v>
      </c>
      <c r="I103" s="8" t="s">
        <v>20</v>
      </c>
      <c r="J103" s="8" t="s">
        <v>20</v>
      </c>
      <c r="K103" s="8" t="s">
        <v>20</v>
      </c>
      <c r="L103" s="8" t="s">
        <v>20</v>
      </c>
      <c r="M103" s="8" t="s">
        <v>20</v>
      </c>
      <c r="N103" s="8" t="s">
        <v>20</v>
      </c>
      <c r="O103" s="8" t="s">
        <v>20</v>
      </c>
      <c r="P103" s="8" t="s">
        <v>20</v>
      </c>
      <c r="Q103" s="8" t="s">
        <v>88</v>
      </c>
      <c r="R103" s="8" t="s">
        <v>20</v>
      </c>
      <c r="S103" s="8" t="s">
        <v>20</v>
      </c>
      <c r="T103" s="8" t="s">
        <v>20</v>
      </c>
      <c r="U103" s="8" t="s">
        <v>20</v>
      </c>
      <c r="V103" s="3"/>
    </row>
    <row r="104" ht="15.75" customHeight="1">
      <c r="A104" s="4" t="s">
        <v>102</v>
      </c>
      <c r="B104" s="5" t="s">
        <v>20</v>
      </c>
      <c r="C104" s="5" t="s">
        <v>20</v>
      </c>
      <c r="D104" s="5" t="s">
        <v>20</v>
      </c>
      <c r="E104" s="5" t="s">
        <v>20</v>
      </c>
      <c r="F104" s="5" t="s">
        <v>20</v>
      </c>
      <c r="G104" s="5" t="s">
        <v>20</v>
      </c>
      <c r="H104" s="5" t="s">
        <v>20</v>
      </c>
      <c r="I104" s="5" t="s">
        <v>20</v>
      </c>
      <c r="J104" s="5" t="s">
        <v>20</v>
      </c>
      <c r="K104" s="5" t="s">
        <v>20</v>
      </c>
      <c r="L104" s="5" t="s">
        <v>20</v>
      </c>
      <c r="M104" s="5" t="s">
        <v>20</v>
      </c>
      <c r="N104" s="5" t="s">
        <v>20</v>
      </c>
      <c r="O104" s="5" t="s">
        <v>20</v>
      </c>
      <c r="P104" s="5" t="s">
        <v>20</v>
      </c>
      <c r="Q104" s="5" t="s">
        <v>66</v>
      </c>
      <c r="R104" s="5" t="s">
        <v>20</v>
      </c>
      <c r="S104" s="5" t="s">
        <v>59</v>
      </c>
      <c r="T104" s="5" t="s">
        <v>20</v>
      </c>
      <c r="U104" s="5" t="s">
        <v>77</v>
      </c>
      <c r="V104" s="3" t="str">
        <f>HYPERLINK("#مجمع!B" &amp; 22, "ورديات اليوم مجمعة")</f>
        <v>ورديات اليوم مجمعة</v>
      </c>
    </row>
    <row r="105" ht="15.75" customHeight="1">
      <c r="A105" s="6"/>
      <c r="B105" s="5" t="s">
        <v>20</v>
      </c>
      <c r="C105" s="5" t="s">
        <v>20</v>
      </c>
      <c r="D105" s="5" t="s">
        <v>20</v>
      </c>
      <c r="E105" s="5" t="s">
        <v>20</v>
      </c>
      <c r="F105" s="5" t="s">
        <v>20</v>
      </c>
      <c r="G105" s="5" t="s">
        <v>20</v>
      </c>
      <c r="H105" s="5" t="s">
        <v>20</v>
      </c>
      <c r="I105" s="5" t="s">
        <v>20</v>
      </c>
      <c r="J105" s="5" t="s">
        <v>20</v>
      </c>
      <c r="K105" s="5" t="s">
        <v>20</v>
      </c>
      <c r="L105" s="5" t="s">
        <v>20</v>
      </c>
      <c r="M105" s="5" t="s">
        <v>20</v>
      </c>
      <c r="N105" s="5" t="s">
        <v>20</v>
      </c>
      <c r="O105" s="5" t="s">
        <v>20</v>
      </c>
      <c r="P105" s="5" t="s">
        <v>20</v>
      </c>
      <c r="Q105" s="5" t="s">
        <v>26</v>
      </c>
      <c r="R105" s="5" t="s">
        <v>20</v>
      </c>
      <c r="S105" s="5" t="s">
        <v>22</v>
      </c>
      <c r="T105" s="5" t="s">
        <v>20</v>
      </c>
      <c r="U105" s="5" t="s">
        <v>51</v>
      </c>
      <c r="V105" s="3"/>
    </row>
    <row r="106" ht="15.75" customHeight="1">
      <c r="A106" s="6"/>
      <c r="B106" s="5" t="s">
        <v>20</v>
      </c>
      <c r="C106" s="5" t="s">
        <v>20</v>
      </c>
      <c r="D106" s="5" t="s">
        <v>20</v>
      </c>
      <c r="E106" s="5" t="s">
        <v>20</v>
      </c>
      <c r="F106" s="5" t="s">
        <v>20</v>
      </c>
      <c r="G106" s="5" t="s">
        <v>20</v>
      </c>
      <c r="H106" s="5" t="s">
        <v>20</v>
      </c>
      <c r="I106" s="5" t="s">
        <v>20</v>
      </c>
      <c r="J106" s="5" t="s">
        <v>20</v>
      </c>
      <c r="K106" s="5" t="s">
        <v>20</v>
      </c>
      <c r="L106" s="5" t="s">
        <v>20</v>
      </c>
      <c r="M106" s="5" t="s">
        <v>20</v>
      </c>
      <c r="N106" s="5" t="s">
        <v>20</v>
      </c>
      <c r="O106" s="5" t="s">
        <v>20</v>
      </c>
      <c r="P106" s="5" t="s">
        <v>20</v>
      </c>
      <c r="Q106" s="5" t="s">
        <v>67</v>
      </c>
      <c r="R106" s="5" t="s">
        <v>20</v>
      </c>
      <c r="S106" s="5" t="s">
        <v>38</v>
      </c>
      <c r="T106" s="5" t="s">
        <v>20</v>
      </c>
      <c r="U106" s="5" t="s">
        <v>20</v>
      </c>
      <c r="V106" s="3"/>
    </row>
    <row r="107" ht="15.75" customHeight="1">
      <c r="A107" s="7"/>
      <c r="B107" s="8" t="s">
        <v>20</v>
      </c>
      <c r="C107" s="8" t="s">
        <v>20</v>
      </c>
      <c r="D107" s="8" t="s">
        <v>20</v>
      </c>
      <c r="E107" s="8" t="s">
        <v>20</v>
      </c>
      <c r="F107" s="8" t="s">
        <v>20</v>
      </c>
      <c r="G107" s="8" t="s">
        <v>20</v>
      </c>
      <c r="H107" s="8" t="s">
        <v>20</v>
      </c>
      <c r="I107" s="8" t="s">
        <v>20</v>
      </c>
      <c r="J107" s="8" t="s">
        <v>20</v>
      </c>
      <c r="K107" s="8" t="s">
        <v>20</v>
      </c>
      <c r="L107" s="8" t="s">
        <v>20</v>
      </c>
      <c r="M107" s="8" t="s">
        <v>20</v>
      </c>
      <c r="N107" s="8" t="s">
        <v>20</v>
      </c>
      <c r="O107" s="8" t="s">
        <v>20</v>
      </c>
      <c r="P107" s="8" t="s">
        <v>20</v>
      </c>
      <c r="Q107" s="8" t="s">
        <v>72</v>
      </c>
      <c r="R107" s="8" t="s">
        <v>20</v>
      </c>
      <c r="S107" s="8" t="s">
        <v>20</v>
      </c>
      <c r="T107" s="8" t="s">
        <v>20</v>
      </c>
      <c r="U107" s="8" t="s">
        <v>20</v>
      </c>
      <c r="V107" s="3"/>
    </row>
    <row r="108" ht="15.75" customHeight="1">
      <c r="A108" s="4" t="s">
        <v>103</v>
      </c>
      <c r="B108" s="5" t="s">
        <v>20</v>
      </c>
      <c r="C108" s="5" t="s">
        <v>20</v>
      </c>
      <c r="D108" s="5" t="s">
        <v>20</v>
      </c>
      <c r="E108" s="5" t="s">
        <v>20</v>
      </c>
      <c r="F108" s="5" t="s">
        <v>20</v>
      </c>
      <c r="G108" s="5" t="s">
        <v>20</v>
      </c>
      <c r="H108" s="5" t="s">
        <v>20</v>
      </c>
      <c r="I108" s="5" t="s">
        <v>20</v>
      </c>
      <c r="J108" s="5" t="s">
        <v>20</v>
      </c>
      <c r="K108" s="5" t="s">
        <v>20</v>
      </c>
      <c r="L108" s="5" t="s">
        <v>20</v>
      </c>
      <c r="M108" s="5" t="s">
        <v>20</v>
      </c>
      <c r="N108" s="5" t="s">
        <v>20</v>
      </c>
      <c r="O108" s="5" t="s">
        <v>20</v>
      </c>
      <c r="P108" s="5" t="s">
        <v>20</v>
      </c>
      <c r="Q108" s="5" t="s">
        <v>33</v>
      </c>
      <c r="R108" s="5" t="s">
        <v>20</v>
      </c>
      <c r="S108" s="5" t="s">
        <v>32</v>
      </c>
      <c r="T108" s="5" t="s">
        <v>20</v>
      </c>
      <c r="U108" s="5" t="s">
        <v>66</v>
      </c>
      <c r="V108" s="3" t="str">
        <f>HYPERLINK("#مجمع!B" &amp; 23, "ورديات اليوم مجمعة")</f>
        <v>ورديات اليوم مجمعة</v>
      </c>
    </row>
    <row r="109" ht="15.75" customHeight="1">
      <c r="A109" s="6"/>
      <c r="B109" s="5" t="s">
        <v>20</v>
      </c>
      <c r="C109" s="5" t="s">
        <v>20</v>
      </c>
      <c r="D109" s="5" t="s">
        <v>20</v>
      </c>
      <c r="E109" s="5" t="s">
        <v>20</v>
      </c>
      <c r="F109" s="5" t="s">
        <v>20</v>
      </c>
      <c r="G109" s="5" t="s">
        <v>20</v>
      </c>
      <c r="H109" s="5" t="s">
        <v>20</v>
      </c>
      <c r="I109" s="5" t="s">
        <v>20</v>
      </c>
      <c r="J109" s="5" t="s">
        <v>20</v>
      </c>
      <c r="K109" s="5" t="s">
        <v>20</v>
      </c>
      <c r="L109" s="5" t="s">
        <v>20</v>
      </c>
      <c r="M109" s="5" t="s">
        <v>20</v>
      </c>
      <c r="N109" s="5" t="s">
        <v>20</v>
      </c>
      <c r="O109" s="5" t="s">
        <v>20</v>
      </c>
      <c r="P109" s="5" t="s">
        <v>20</v>
      </c>
      <c r="Q109" s="5" t="s">
        <v>73</v>
      </c>
      <c r="R109" s="5" t="s">
        <v>20</v>
      </c>
      <c r="S109" s="5" t="s">
        <v>41</v>
      </c>
      <c r="T109" s="5" t="s">
        <v>20</v>
      </c>
      <c r="U109" s="5" t="s">
        <v>78</v>
      </c>
      <c r="V109" s="3"/>
    </row>
    <row r="110" ht="15.75" customHeight="1">
      <c r="A110" s="6"/>
      <c r="B110" s="5" t="s">
        <v>20</v>
      </c>
      <c r="C110" s="5" t="s">
        <v>20</v>
      </c>
      <c r="D110" s="5" t="s">
        <v>20</v>
      </c>
      <c r="E110" s="5" t="s">
        <v>20</v>
      </c>
      <c r="F110" s="5" t="s">
        <v>20</v>
      </c>
      <c r="G110" s="5" t="s">
        <v>20</v>
      </c>
      <c r="H110" s="5" t="s">
        <v>20</v>
      </c>
      <c r="I110" s="5" t="s">
        <v>20</v>
      </c>
      <c r="J110" s="5" t="s">
        <v>20</v>
      </c>
      <c r="K110" s="5" t="s">
        <v>20</v>
      </c>
      <c r="L110" s="5" t="s">
        <v>20</v>
      </c>
      <c r="M110" s="5" t="s">
        <v>20</v>
      </c>
      <c r="N110" s="5" t="s">
        <v>20</v>
      </c>
      <c r="O110" s="5" t="s">
        <v>20</v>
      </c>
      <c r="P110" s="5" t="s">
        <v>20</v>
      </c>
      <c r="Q110" s="5" t="s">
        <v>21</v>
      </c>
      <c r="R110" s="5" t="s">
        <v>20</v>
      </c>
      <c r="S110" s="5" t="s">
        <v>55</v>
      </c>
      <c r="T110" s="5" t="s">
        <v>20</v>
      </c>
      <c r="U110" s="5" t="s">
        <v>20</v>
      </c>
      <c r="V110" s="3"/>
    </row>
    <row r="111" ht="15.75" customHeight="1">
      <c r="A111" s="7"/>
      <c r="B111" s="8" t="s">
        <v>20</v>
      </c>
      <c r="C111" s="8" t="s">
        <v>20</v>
      </c>
      <c r="D111" s="8" t="s">
        <v>20</v>
      </c>
      <c r="E111" s="8" t="s">
        <v>20</v>
      </c>
      <c r="F111" s="8" t="s">
        <v>20</v>
      </c>
      <c r="G111" s="8" t="s">
        <v>20</v>
      </c>
      <c r="H111" s="8" t="s">
        <v>20</v>
      </c>
      <c r="I111" s="8" t="s">
        <v>20</v>
      </c>
      <c r="J111" s="8" t="s">
        <v>20</v>
      </c>
      <c r="K111" s="8" t="s">
        <v>20</v>
      </c>
      <c r="L111" s="8" t="s">
        <v>20</v>
      </c>
      <c r="M111" s="8" t="s">
        <v>20</v>
      </c>
      <c r="N111" s="8" t="s">
        <v>20</v>
      </c>
      <c r="O111" s="8" t="s">
        <v>20</v>
      </c>
      <c r="P111" s="8" t="s">
        <v>20</v>
      </c>
      <c r="Q111" s="8" t="s">
        <v>37</v>
      </c>
      <c r="R111" s="8" t="s">
        <v>20</v>
      </c>
      <c r="S111" s="8" t="s">
        <v>20</v>
      </c>
      <c r="T111" s="8" t="s">
        <v>20</v>
      </c>
      <c r="U111" s="8" t="s">
        <v>20</v>
      </c>
      <c r="V111" s="3"/>
    </row>
    <row r="112" ht="15.75" customHeight="1">
      <c r="A112" s="4" t="s">
        <v>104</v>
      </c>
      <c r="B112" s="5" t="s">
        <v>20</v>
      </c>
      <c r="C112" s="5" t="s">
        <v>20</v>
      </c>
      <c r="D112" s="5" t="s">
        <v>20</v>
      </c>
      <c r="E112" s="5" t="s">
        <v>20</v>
      </c>
      <c r="F112" s="5" t="s">
        <v>20</v>
      </c>
      <c r="G112" s="5" t="s">
        <v>20</v>
      </c>
      <c r="H112" s="5" t="s">
        <v>20</v>
      </c>
      <c r="I112" s="5" t="s">
        <v>20</v>
      </c>
      <c r="J112" s="5" t="s">
        <v>20</v>
      </c>
      <c r="K112" s="5" t="s">
        <v>20</v>
      </c>
      <c r="L112" s="5" t="s">
        <v>20</v>
      </c>
      <c r="M112" s="5" t="s">
        <v>20</v>
      </c>
      <c r="N112" s="5" t="s">
        <v>20</v>
      </c>
      <c r="O112" s="5" t="s">
        <v>20</v>
      </c>
      <c r="P112" s="5" t="s">
        <v>43</v>
      </c>
      <c r="Q112" s="5" t="s">
        <v>42</v>
      </c>
      <c r="R112" s="5" t="s">
        <v>20</v>
      </c>
      <c r="S112" s="5" t="s">
        <v>33</v>
      </c>
      <c r="T112" s="5" t="s">
        <v>20</v>
      </c>
      <c r="U112" s="5" t="s">
        <v>20</v>
      </c>
      <c r="V112" s="3" t="str">
        <f>HYPERLINK("#مجمع!B" &amp; 24, "ورديات اليوم مجمعة")</f>
        <v>ورديات اليوم مجمعة</v>
      </c>
    </row>
    <row r="113" ht="15.75" customHeight="1">
      <c r="A113" s="6"/>
      <c r="B113" s="5" t="s">
        <v>20</v>
      </c>
      <c r="C113" s="5" t="s">
        <v>20</v>
      </c>
      <c r="D113" s="5" t="s">
        <v>20</v>
      </c>
      <c r="E113" s="5" t="s">
        <v>20</v>
      </c>
      <c r="F113" s="5" t="s">
        <v>20</v>
      </c>
      <c r="G113" s="5" t="s">
        <v>20</v>
      </c>
      <c r="H113" s="5" t="s">
        <v>20</v>
      </c>
      <c r="I113" s="5" t="s">
        <v>20</v>
      </c>
      <c r="J113" s="5" t="s">
        <v>20</v>
      </c>
      <c r="K113" s="5" t="s">
        <v>20</v>
      </c>
      <c r="L113" s="5" t="s">
        <v>20</v>
      </c>
      <c r="M113" s="5" t="s">
        <v>20</v>
      </c>
      <c r="N113" s="5" t="s">
        <v>20</v>
      </c>
      <c r="O113" s="5" t="s">
        <v>20</v>
      </c>
      <c r="P113" s="5" t="s">
        <v>53</v>
      </c>
      <c r="Q113" s="5" t="s">
        <v>36</v>
      </c>
      <c r="R113" s="5" t="s">
        <v>20</v>
      </c>
      <c r="S113" s="5" t="s">
        <v>53</v>
      </c>
      <c r="T113" s="5" t="s">
        <v>20</v>
      </c>
      <c r="U113" s="5" t="s">
        <v>20</v>
      </c>
      <c r="V113" s="3"/>
    </row>
    <row r="114" ht="15.75" customHeight="1">
      <c r="A114" s="7"/>
      <c r="B114" s="8" t="s">
        <v>20</v>
      </c>
      <c r="C114" s="8" t="s">
        <v>20</v>
      </c>
      <c r="D114" s="8" t="s">
        <v>20</v>
      </c>
      <c r="E114" s="8" t="s">
        <v>20</v>
      </c>
      <c r="F114" s="8" t="s">
        <v>20</v>
      </c>
      <c r="G114" s="8" t="s">
        <v>20</v>
      </c>
      <c r="H114" s="8" t="s">
        <v>20</v>
      </c>
      <c r="I114" s="8" t="s">
        <v>20</v>
      </c>
      <c r="J114" s="8" t="s">
        <v>20</v>
      </c>
      <c r="K114" s="8" t="s">
        <v>20</v>
      </c>
      <c r="L114" s="8" t="s">
        <v>20</v>
      </c>
      <c r="M114" s="8" t="s">
        <v>20</v>
      </c>
      <c r="N114" s="8" t="s">
        <v>20</v>
      </c>
      <c r="O114" s="8" t="s">
        <v>20</v>
      </c>
      <c r="P114" s="8" t="s">
        <v>20</v>
      </c>
      <c r="Q114" s="8" t="s">
        <v>58</v>
      </c>
      <c r="R114" s="8" t="s">
        <v>20</v>
      </c>
      <c r="S114" s="8" t="s">
        <v>20</v>
      </c>
      <c r="T114" s="8" t="s">
        <v>20</v>
      </c>
      <c r="U114" s="8" t="s">
        <v>20</v>
      </c>
      <c r="V114" s="3"/>
    </row>
    <row r="115" ht="15.75" customHeight="1">
      <c r="A115" s="4" t="s">
        <v>105</v>
      </c>
      <c r="B115" s="5" t="s">
        <v>42</v>
      </c>
      <c r="C115" s="5" t="s">
        <v>44</v>
      </c>
      <c r="D115" s="5" t="s">
        <v>47</v>
      </c>
      <c r="E115" s="5" t="s">
        <v>59</v>
      </c>
      <c r="F115" s="5" t="s">
        <v>85</v>
      </c>
      <c r="G115" s="5" t="s">
        <v>38</v>
      </c>
      <c r="H115" s="5" t="s">
        <v>36</v>
      </c>
      <c r="I115" s="5" t="s">
        <v>69</v>
      </c>
      <c r="J115" s="5" t="s">
        <v>39</v>
      </c>
      <c r="K115" s="5" t="s">
        <v>95</v>
      </c>
      <c r="L115" s="5" t="s">
        <v>28</v>
      </c>
      <c r="M115" s="5" t="s">
        <v>34</v>
      </c>
      <c r="N115" s="5" t="s">
        <v>43</v>
      </c>
      <c r="O115" s="5" t="s">
        <v>67</v>
      </c>
      <c r="P115" s="5" t="s">
        <v>20</v>
      </c>
      <c r="Q115" s="5" t="s">
        <v>20</v>
      </c>
      <c r="R115" s="5" t="s">
        <v>20</v>
      </c>
      <c r="S115" s="5" t="s">
        <v>20</v>
      </c>
      <c r="T115" s="5" t="s">
        <v>20</v>
      </c>
      <c r="U115" s="5" t="s">
        <v>20</v>
      </c>
      <c r="V115" s="3" t="str">
        <f>HYPERLINK("#مجمع!B" &amp; 25, "ورديات اليوم مجمعة")</f>
        <v>ورديات اليوم مجمعة</v>
      </c>
    </row>
    <row r="116" ht="15.75" customHeight="1">
      <c r="A116" s="6"/>
      <c r="B116" s="5" t="s">
        <v>20</v>
      </c>
      <c r="C116" s="5" t="s">
        <v>20</v>
      </c>
      <c r="D116" s="5" t="s">
        <v>20</v>
      </c>
      <c r="E116" s="5" t="s">
        <v>20</v>
      </c>
      <c r="F116" s="5" t="s">
        <v>20</v>
      </c>
      <c r="G116" s="5" t="s">
        <v>20</v>
      </c>
      <c r="H116" s="5" t="s">
        <v>66</v>
      </c>
      <c r="I116" s="5" t="s">
        <v>55</v>
      </c>
      <c r="J116" s="5" t="s">
        <v>20</v>
      </c>
      <c r="K116" s="5" t="s">
        <v>20</v>
      </c>
      <c r="L116" s="5" t="s">
        <v>37</v>
      </c>
      <c r="M116" s="5" t="s">
        <v>63</v>
      </c>
      <c r="N116" s="5" t="s">
        <v>62</v>
      </c>
      <c r="O116" s="5" t="s">
        <v>33</v>
      </c>
      <c r="P116" s="5" t="s">
        <v>20</v>
      </c>
      <c r="Q116" s="5" t="s">
        <v>20</v>
      </c>
      <c r="R116" s="5" t="s">
        <v>20</v>
      </c>
      <c r="S116" s="5" t="s">
        <v>20</v>
      </c>
      <c r="T116" s="5" t="s">
        <v>20</v>
      </c>
      <c r="U116" s="5" t="s">
        <v>20</v>
      </c>
      <c r="V116" s="3"/>
    </row>
    <row r="117" ht="15.75" customHeight="1">
      <c r="A117" s="6"/>
      <c r="B117" s="5" t="s">
        <v>20</v>
      </c>
      <c r="C117" s="5" t="s">
        <v>20</v>
      </c>
      <c r="D117" s="5" t="s">
        <v>20</v>
      </c>
      <c r="E117" s="5" t="s">
        <v>20</v>
      </c>
      <c r="F117" s="5" t="s">
        <v>20</v>
      </c>
      <c r="G117" s="5" t="s">
        <v>20</v>
      </c>
      <c r="H117" s="5" t="s">
        <v>27</v>
      </c>
      <c r="I117" s="5" t="s">
        <v>64</v>
      </c>
      <c r="J117" s="5" t="s">
        <v>20</v>
      </c>
      <c r="K117" s="5" t="s">
        <v>20</v>
      </c>
      <c r="L117" s="5" t="s">
        <v>70</v>
      </c>
      <c r="M117" s="5" t="s">
        <v>77</v>
      </c>
      <c r="N117" s="5" t="s">
        <v>50</v>
      </c>
      <c r="O117" s="5" t="s">
        <v>58</v>
      </c>
      <c r="P117" s="5" t="s">
        <v>20</v>
      </c>
      <c r="Q117" s="5" t="s">
        <v>20</v>
      </c>
      <c r="R117" s="5" t="s">
        <v>20</v>
      </c>
      <c r="S117" s="5" t="s">
        <v>20</v>
      </c>
      <c r="T117" s="5" t="s">
        <v>20</v>
      </c>
      <c r="U117" s="5" t="s">
        <v>20</v>
      </c>
      <c r="V117" s="3"/>
    </row>
    <row r="118" ht="15.75" customHeight="1">
      <c r="A118" s="6"/>
      <c r="B118" s="5" t="s">
        <v>20</v>
      </c>
      <c r="C118" s="5" t="s">
        <v>20</v>
      </c>
      <c r="D118" s="5" t="s">
        <v>20</v>
      </c>
      <c r="E118" s="5" t="s">
        <v>20</v>
      </c>
      <c r="F118" s="5" t="s">
        <v>20</v>
      </c>
      <c r="G118" s="5" t="s">
        <v>20</v>
      </c>
      <c r="H118" s="5" t="s">
        <v>54</v>
      </c>
      <c r="I118" s="5" t="s">
        <v>72</v>
      </c>
      <c r="J118" s="5" t="s">
        <v>20</v>
      </c>
      <c r="K118" s="5" t="s">
        <v>20</v>
      </c>
      <c r="L118" s="5" t="s">
        <v>60</v>
      </c>
      <c r="M118" s="5" t="s">
        <v>23</v>
      </c>
      <c r="N118" s="5" t="s">
        <v>57</v>
      </c>
      <c r="O118" s="5" t="s">
        <v>22</v>
      </c>
      <c r="P118" s="5" t="s">
        <v>20</v>
      </c>
      <c r="Q118" s="5" t="s">
        <v>20</v>
      </c>
      <c r="R118" s="5" t="s">
        <v>20</v>
      </c>
      <c r="S118" s="5" t="s">
        <v>20</v>
      </c>
      <c r="T118" s="5" t="s">
        <v>20</v>
      </c>
      <c r="U118" s="5" t="s">
        <v>20</v>
      </c>
      <c r="V118" s="3"/>
    </row>
    <row r="119" ht="15.75" customHeight="1">
      <c r="A119" s="6"/>
      <c r="B119" s="5" t="s">
        <v>20</v>
      </c>
      <c r="C119" s="5" t="s">
        <v>20</v>
      </c>
      <c r="D119" s="5" t="s">
        <v>20</v>
      </c>
      <c r="E119" s="5" t="s">
        <v>20</v>
      </c>
      <c r="F119" s="5" t="s">
        <v>20</v>
      </c>
      <c r="G119" s="5" t="s">
        <v>20</v>
      </c>
      <c r="H119" s="5" t="s">
        <v>73</v>
      </c>
      <c r="I119" s="5" t="s">
        <v>75</v>
      </c>
      <c r="J119" s="5" t="s">
        <v>20</v>
      </c>
      <c r="K119" s="5" t="s">
        <v>20</v>
      </c>
      <c r="L119" s="5" t="s">
        <v>74</v>
      </c>
      <c r="M119" s="5" t="s">
        <v>24</v>
      </c>
      <c r="N119" s="5" t="s">
        <v>20</v>
      </c>
      <c r="O119" s="5" t="s">
        <v>20</v>
      </c>
      <c r="P119" s="5" t="s">
        <v>20</v>
      </c>
      <c r="Q119" s="5" t="s">
        <v>20</v>
      </c>
      <c r="R119" s="5" t="s">
        <v>20</v>
      </c>
      <c r="S119" s="5" t="s">
        <v>20</v>
      </c>
      <c r="T119" s="5" t="s">
        <v>20</v>
      </c>
      <c r="U119" s="5" t="s">
        <v>20</v>
      </c>
      <c r="V119" s="3"/>
    </row>
    <row r="120" ht="15.75" customHeight="1">
      <c r="A120" s="6"/>
      <c r="B120" s="5" t="s">
        <v>20</v>
      </c>
      <c r="C120" s="5" t="s">
        <v>20</v>
      </c>
      <c r="D120" s="5" t="s">
        <v>20</v>
      </c>
      <c r="E120" s="5" t="s">
        <v>20</v>
      </c>
      <c r="F120" s="5" t="s">
        <v>20</v>
      </c>
      <c r="G120" s="5" t="s">
        <v>20</v>
      </c>
      <c r="H120" s="5" t="s">
        <v>71</v>
      </c>
      <c r="I120" s="5" t="s">
        <v>52</v>
      </c>
      <c r="J120" s="5" t="s">
        <v>20</v>
      </c>
      <c r="K120" s="5" t="s">
        <v>20</v>
      </c>
      <c r="L120" s="5" t="s">
        <v>65</v>
      </c>
      <c r="M120" s="5" t="s">
        <v>56</v>
      </c>
      <c r="N120" s="5" t="s">
        <v>20</v>
      </c>
      <c r="O120" s="5" t="s">
        <v>20</v>
      </c>
      <c r="P120" s="5" t="s">
        <v>20</v>
      </c>
      <c r="Q120" s="5" t="s">
        <v>20</v>
      </c>
      <c r="R120" s="5" t="s">
        <v>20</v>
      </c>
      <c r="S120" s="5" t="s">
        <v>20</v>
      </c>
      <c r="T120" s="5" t="s">
        <v>20</v>
      </c>
      <c r="U120" s="5" t="s">
        <v>20</v>
      </c>
      <c r="V120" s="3"/>
    </row>
    <row r="121" ht="15.75" customHeight="1">
      <c r="A121" s="6"/>
      <c r="B121" s="5" t="s">
        <v>20</v>
      </c>
      <c r="C121" s="5" t="s">
        <v>20</v>
      </c>
      <c r="D121" s="5" t="s">
        <v>20</v>
      </c>
      <c r="E121" s="5" t="s">
        <v>20</v>
      </c>
      <c r="F121" s="5" t="s">
        <v>20</v>
      </c>
      <c r="G121" s="5" t="s">
        <v>20</v>
      </c>
      <c r="H121" s="5" t="s">
        <v>45</v>
      </c>
      <c r="I121" s="5" t="s">
        <v>26</v>
      </c>
      <c r="J121" s="5" t="s">
        <v>20</v>
      </c>
      <c r="K121" s="5" t="s">
        <v>20</v>
      </c>
      <c r="L121" s="5" t="s">
        <v>21</v>
      </c>
      <c r="M121" s="5" t="s">
        <v>25</v>
      </c>
      <c r="N121" s="5" t="s">
        <v>20</v>
      </c>
      <c r="O121" s="5" t="s">
        <v>20</v>
      </c>
      <c r="P121" s="5" t="s">
        <v>20</v>
      </c>
      <c r="Q121" s="5" t="s">
        <v>20</v>
      </c>
      <c r="R121" s="5" t="s">
        <v>20</v>
      </c>
      <c r="S121" s="5" t="s">
        <v>20</v>
      </c>
      <c r="T121" s="5" t="s">
        <v>20</v>
      </c>
      <c r="U121" s="5" t="s">
        <v>20</v>
      </c>
      <c r="V121" s="3"/>
    </row>
    <row r="122" ht="15.75" customHeight="1">
      <c r="A122" s="7"/>
      <c r="B122" s="8" t="s">
        <v>20</v>
      </c>
      <c r="C122" s="8" t="s">
        <v>20</v>
      </c>
      <c r="D122" s="8" t="s">
        <v>20</v>
      </c>
      <c r="E122" s="8" t="s">
        <v>20</v>
      </c>
      <c r="F122" s="8" t="s">
        <v>20</v>
      </c>
      <c r="G122" s="8" t="s">
        <v>20</v>
      </c>
      <c r="H122" s="8" t="s">
        <v>88</v>
      </c>
      <c r="I122" s="8" t="s">
        <v>68</v>
      </c>
      <c r="J122" s="8" t="s">
        <v>20</v>
      </c>
      <c r="K122" s="8" t="s">
        <v>20</v>
      </c>
      <c r="L122" s="8" t="s">
        <v>20</v>
      </c>
      <c r="M122" s="8" t="s">
        <v>20</v>
      </c>
      <c r="N122" s="8" t="s">
        <v>20</v>
      </c>
      <c r="O122" s="8" t="s">
        <v>20</v>
      </c>
      <c r="P122" s="8" t="s">
        <v>20</v>
      </c>
      <c r="Q122" s="8" t="s">
        <v>20</v>
      </c>
      <c r="R122" s="8" t="s">
        <v>20</v>
      </c>
      <c r="S122" s="8" t="s">
        <v>20</v>
      </c>
      <c r="T122" s="8" t="s">
        <v>20</v>
      </c>
      <c r="U122" s="8" t="s">
        <v>20</v>
      </c>
      <c r="V122" s="3"/>
    </row>
    <row r="123" ht="15.75" customHeight="1">
      <c r="A123" s="4" t="s">
        <v>106</v>
      </c>
      <c r="B123" s="5" t="s">
        <v>20</v>
      </c>
      <c r="C123" s="5" t="s">
        <v>20</v>
      </c>
      <c r="D123" s="5" t="s">
        <v>20</v>
      </c>
      <c r="E123" s="5" t="s">
        <v>20</v>
      </c>
      <c r="F123" s="5" t="s">
        <v>20</v>
      </c>
      <c r="G123" s="5" t="s">
        <v>20</v>
      </c>
      <c r="H123" s="5" t="s">
        <v>20</v>
      </c>
      <c r="I123" s="5" t="s">
        <v>20</v>
      </c>
      <c r="J123" s="5" t="s">
        <v>20</v>
      </c>
      <c r="K123" s="5" t="s">
        <v>20</v>
      </c>
      <c r="L123" s="5" t="s">
        <v>20</v>
      </c>
      <c r="M123" s="5" t="s">
        <v>20</v>
      </c>
      <c r="N123" s="5" t="s">
        <v>20</v>
      </c>
      <c r="O123" s="5" t="s">
        <v>20</v>
      </c>
      <c r="P123" s="5" t="s">
        <v>20</v>
      </c>
      <c r="Q123" s="5" t="s">
        <v>60</v>
      </c>
      <c r="R123" s="5" t="s">
        <v>20</v>
      </c>
      <c r="S123" s="5" t="s">
        <v>77</v>
      </c>
      <c r="T123" s="5" t="s">
        <v>20</v>
      </c>
      <c r="U123" s="5" t="s">
        <v>20</v>
      </c>
      <c r="V123" s="3" t="str">
        <f>HYPERLINK("#مجمع!B" &amp; 26, "ورديات اليوم مجمعة")</f>
        <v>ورديات اليوم مجمعة</v>
      </c>
    </row>
    <row r="124" ht="15.75" customHeight="1">
      <c r="A124" s="6"/>
      <c r="B124" s="5" t="s">
        <v>20</v>
      </c>
      <c r="C124" s="5" t="s">
        <v>20</v>
      </c>
      <c r="D124" s="5" t="s">
        <v>20</v>
      </c>
      <c r="E124" s="5" t="s">
        <v>20</v>
      </c>
      <c r="F124" s="5" t="s">
        <v>20</v>
      </c>
      <c r="G124" s="5" t="s">
        <v>20</v>
      </c>
      <c r="H124" s="5" t="s">
        <v>20</v>
      </c>
      <c r="I124" s="5" t="s">
        <v>20</v>
      </c>
      <c r="J124" s="5" t="s">
        <v>20</v>
      </c>
      <c r="K124" s="5" t="s">
        <v>20</v>
      </c>
      <c r="L124" s="5" t="s">
        <v>20</v>
      </c>
      <c r="M124" s="5" t="s">
        <v>20</v>
      </c>
      <c r="N124" s="5" t="s">
        <v>20</v>
      </c>
      <c r="O124" s="5" t="s">
        <v>20</v>
      </c>
      <c r="P124" s="5" t="s">
        <v>20</v>
      </c>
      <c r="Q124" s="5" t="s">
        <v>85</v>
      </c>
      <c r="R124" s="5" t="s">
        <v>20</v>
      </c>
      <c r="S124" s="5" t="s">
        <v>25</v>
      </c>
      <c r="T124" s="5" t="s">
        <v>20</v>
      </c>
      <c r="U124" s="5" t="s">
        <v>20</v>
      </c>
      <c r="V124" s="3"/>
    </row>
    <row r="125" ht="15.75" customHeight="1">
      <c r="A125" s="6"/>
      <c r="B125" s="5" t="s">
        <v>20</v>
      </c>
      <c r="C125" s="5" t="s">
        <v>20</v>
      </c>
      <c r="D125" s="5" t="s">
        <v>20</v>
      </c>
      <c r="E125" s="5" t="s">
        <v>20</v>
      </c>
      <c r="F125" s="5" t="s">
        <v>20</v>
      </c>
      <c r="G125" s="5" t="s">
        <v>20</v>
      </c>
      <c r="H125" s="5" t="s">
        <v>20</v>
      </c>
      <c r="I125" s="5" t="s">
        <v>20</v>
      </c>
      <c r="J125" s="5" t="s">
        <v>20</v>
      </c>
      <c r="K125" s="5" t="s">
        <v>20</v>
      </c>
      <c r="L125" s="5" t="s">
        <v>20</v>
      </c>
      <c r="M125" s="5" t="s">
        <v>20</v>
      </c>
      <c r="N125" s="5" t="s">
        <v>20</v>
      </c>
      <c r="O125" s="5" t="s">
        <v>20</v>
      </c>
      <c r="P125" s="5" t="s">
        <v>20</v>
      </c>
      <c r="Q125" s="5" t="s">
        <v>51</v>
      </c>
      <c r="R125" s="5" t="s">
        <v>20</v>
      </c>
      <c r="S125" s="5" t="s">
        <v>72</v>
      </c>
      <c r="T125" s="5" t="s">
        <v>20</v>
      </c>
      <c r="U125" s="5" t="s">
        <v>20</v>
      </c>
      <c r="V125" s="3"/>
    </row>
    <row r="126" ht="15.75" customHeight="1">
      <c r="A126" s="6"/>
      <c r="B126" s="5" t="s">
        <v>20</v>
      </c>
      <c r="C126" s="5" t="s">
        <v>20</v>
      </c>
      <c r="D126" s="5" t="s">
        <v>20</v>
      </c>
      <c r="E126" s="5" t="s">
        <v>20</v>
      </c>
      <c r="F126" s="5" t="s">
        <v>20</v>
      </c>
      <c r="G126" s="5" t="s">
        <v>20</v>
      </c>
      <c r="H126" s="5" t="s">
        <v>20</v>
      </c>
      <c r="I126" s="5" t="s">
        <v>20</v>
      </c>
      <c r="J126" s="5" t="s">
        <v>20</v>
      </c>
      <c r="K126" s="5" t="s">
        <v>20</v>
      </c>
      <c r="L126" s="5" t="s">
        <v>20</v>
      </c>
      <c r="M126" s="5" t="s">
        <v>20</v>
      </c>
      <c r="N126" s="5" t="s">
        <v>20</v>
      </c>
      <c r="O126" s="5" t="s">
        <v>20</v>
      </c>
      <c r="P126" s="5" t="s">
        <v>20</v>
      </c>
      <c r="Q126" s="5" t="s">
        <v>37</v>
      </c>
      <c r="R126" s="5" t="s">
        <v>20</v>
      </c>
      <c r="S126" s="5" t="s">
        <v>78</v>
      </c>
      <c r="T126" s="5" t="s">
        <v>20</v>
      </c>
      <c r="U126" s="5" t="s">
        <v>20</v>
      </c>
      <c r="V126" s="3"/>
    </row>
    <row r="127" ht="15.75" customHeight="1">
      <c r="A127" s="6"/>
      <c r="B127" s="5" t="s">
        <v>20</v>
      </c>
      <c r="C127" s="5" t="s">
        <v>20</v>
      </c>
      <c r="D127" s="5" t="s">
        <v>20</v>
      </c>
      <c r="E127" s="5" t="s">
        <v>20</v>
      </c>
      <c r="F127" s="5" t="s">
        <v>20</v>
      </c>
      <c r="G127" s="5" t="s">
        <v>20</v>
      </c>
      <c r="H127" s="5" t="s">
        <v>20</v>
      </c>
      <c r="I127" s="5" t="s">
        <v>20</v>
      </c>
      <c r="J127" s="5" t="s">
        <v>20</v>
      </c>
      <c r="K127" s="5" t="s">
        <v>20</v>
      </c>
      <c r="L127" s="5" t="s">
        <v>20</v>
      </c>
      <c r="M127" s="5" t="s">
        <v>20</v>
      </c>
      <c r="N127" s="5" t="s">
        <v>20</v>
      </c>
      <c r="O127" s="5" t="s">
        <v>20</v>
      </c>
      <c r="P127" s="5" t="s">
        <v>20</v>
      </c>
      <c r="Q127" s="5" t="s">
        <v>49</v>
      </c>
      <c r="R127" s="5" t="s">
        <v>20</v>
      </c>
      <c r="S127" s="5" t="s">
        <v>20</v>
      </c>
      <c r="T127" s="5" t="s">
        <v>20</v>
      </c>
      <c r="U127" s="5" t="s">
        <v>20</v>
      </c>
      <c r="V127" s="3"/>
    </row>
    <row r="128" ht="15.75" customHeight="1">
      <c r="A128" s="6"/>
      <c r="B128" s="5" t="s">
        <v>20</v>
      </c>
      <c r="C128" s="5" t="s">
        <v>20</v>
      </c>
      <c r="D128" s="5" t="s">
        <v>20</v>
      </c>
      <c r="E128" s="5" t="s">
        <v>20</v>
      </c>
      <c r="F128" s="5" t="s">
        <v>20</v>
      </c>
      <c r="G128" s="5" t="s">
        <v>20</v>
      </c>
      <c r="H128" s="5" t="s">
        <v>20</v>
      </c>
      <c r="I128" s="5" t="s">
        <v>20</v>
      </c>
      <c r="J128" s="5" t="s">
        <v>20</v>
      </c>
      <c r="K128" s="5" t="s">
        <v>20</v>
      </c>
      <c r="L128" s="5" t="s">
        <v>20</v>
      </c>
      <c r="M128" s="5" t="s">
        <v>20</v>
      </c>
      <c r="N128" s="5" t="s">
        <v>20</v>
      </c>
      <c r="O128" s="5" t="s">
        <v>20</v>
      </c>
      <c r="P128" s="5" t="s">
        <v>20</v>
      </c>
      <c r="Q128" s="5" t="s">
        <v>95</v>
      </c>
      <c r="R128" s="5" t="s">
        <v>20</v>
      </c>
      <c r="S128" s="5" t="s">
        <v>20</v>
      </c>
      <c r="T128" s="5" t="s">
        <v>20</v>
      </c>
      <c r="U128" s="5" t="s">
        <v>20</v>
      </c>
      <c r="V128" s="3"/>
    </row>
    <row r="129" ht="15.75" customHeight="1">
      <c r="A129" s="7"/>
      <c r="B129" s="8" t="s">
        <v>20</v>
      </c>
      <c r="C129" s="8" t="s">
        <v>20</v>
      </c>
      <c r="D129" s="8" t="s">
        <v>20</v>
      </c>
      <c r="E129" s="8" t="s">
        <v>20</v>
      </c>
      <c r="F129" s="8" t="s">
        <v>20</v>
      </c>
      <c r="G129" s="8" t="s">
        <v>20</v>
      </c>
      <c r="H129" s="8" t="s">
        <v>20</v>
      </c>
      <c r="I129" s="8" t="s">
        <v>20</v>
      </c>
      <c r="J129" s="8" t="s">
        <v>20</v>
      </c>
      <c r="K129" s="8" t="s">
        <v>20</v>
      </c>
      <c r="L129" s="8" t="s">
        <v>20</v>
      </c>
      <c r="M129" s="8" t="s">
        <v>20</v>
      </c>
      <c r="N129" s="8" t="s">
        <v>20</v>
      </c>
      <c r="O129" s="8" t="s">
        <v>20</v>
      </c>
      <c r="P129" s="8" t="s">
        <v>20</v>
      </c>
      <c r="Q129" s="8" t="s">
        <v>54</v>
      </c>
      <c r="R129" s="8" t="s">
        <v>20</v>
      </c>
      <c r="S129" s="8" t="s">
        <v>20</v>
      </c>
      <c r="T129" s="8" t="s">
        <v>20</v>
      </c>
      <c r="U129" s="8" t="s">
        <v>20</v>
      </c>
      <c r="V129" s="3"/>
    </row>
    <row r="130" ht="15.75" customHeight="1">
      <c r="A130" s="4" t="s">
        <v>107</v>
      </c>
      <c r="B130" s="5" t="s">
        <v>61</v>
      </c>
      <c r="C130" s="5" t="s">
        <v>32</v>
      </c>
      <c r="D130" s="5" t="s">
        <v>49</v>
      </c>
      <c r="E130" s="5" t="s">
        <v>88</v>
      </c>
      <c r="F130" s="5" t="s">
        <v>85</v>
      </c>
      <c r="G130" s="5" t="s">
        <v>78</v>
      </c>
      <c r="H130" s="5" t="s">
        <v>47</v>
      </c>
      <c r="I130" s="5" t="s">
        <v>58</v>
      </c>
      <c r="J130" s="5" t="s">
        <v>108</v>
      </c>
      <c r="K130" s="5" t="s">
        <v>97</v>
      </c>
      <c r="L130" s="5" t="s">
        <v>38</v>
      </c>
      <c r="M130" s="5" t="s">
        <v>77</v>
      </c>
      <c r="N130" s="5" t="s">
        <v>62</v>
      </c>
      <c r="O130" s="5" t="s">
        <v>53</v>
      </c>
      <c r="P130" s="5" t="s">
        <v>20</v>
      </c>
      <c r="Q130" s="5" t="s">
        <v>20</v>
      </c>
      <c r="R130" s="5" t="s">
        <v>20</v>
      </c>
      <c r="S130" s="5" t="s">
        <v>20</v>
      </c>
      <c r="T130" s="5" t="s">
        <v>20</v>
      </c>
      <c r="U130" s="5" t="s">
        <v>20</v>
      </c>
      <c r="V130" s="3" t="str">
        <f>HYPERLINK("#مجمع!B" &amp; 27, "ورديات اليوم مجمعة")</f>
        <v>ورديات اليوم مجمعة</v>
      </c>
    </row>
    <row r="131" ht="15.75" customHeight="1">
      <c r="A131" s="6"/>
      <c r="B131" s="5" t="s">
        <v>20</v>
      </c>
      <c r="C131" s="5" t="s">
        <v>20</v>
      </c>
      <c r="D131" s="5" t="s">
        <v>20</v>
      </c>
      <c r="E131" s="5" t="s">
        <v>20</v>
      </c>
      <c r="F131" s="5" t="s">
        <v>20</v>
      </c>
      <c r="G131" s="5" t="s">
        <v>20</v>
      </c>
      <c r="H131" s="5" t="s">
        <v>27</v>
      </c>
      <c r="I131" s="5" t="s">
        <v>34</v>
      </c>
      <c r="J131" s="5" t="s">
        <v>20</v>
      </c>
      <c r="K131" s="5" t="s">
        <v>20</v>
      </c>
      <c r="L131" s="5" t="s">
        <v>21</v>
      </c>
      <c r="M131" s="5" t="s">
        <v>51</v>
      </c>
      <c r="N131" s="5" t="s">
        <v>88</v>
      </c>
      <c r="O131" s="5" t="s">
        <v>67</v>
      </c>
      <c r="P131" s="5" t="s">
        <v>20</v>
      </c>
      <c r="Q131" s="5" t="s">
        <v>20</v>
      </c>
      <c r="R131" s="5" t="s">
        <v>20</v>
      </c>
      <c r="S131" s="5" t="s">
        <v>20</v>
      </c>
      <c r="T131" s="5" t="s">
        <v>20</v>
      </c>
      <c r="U131" s="5" t="s">
        <v>20</v>
      </c>
      <c r="V131" s="3"/>
    </row>
    <row r="132" ht="15.75" customHeight="1">
      <c r="A132" s="6"/>
      <c r="B132" s="5" t="s">
        <v>20</v>
      </c>
      <c r="C132" s="5" t="s">
        <v>20</v>
      </c>
      <c r="D132" s="5" t="s">
        <v>20</v>
      </c>
      <c r="E132" s="5" t="s">
        <v>20</v>
      </c>
      <c r="F132" s="5" t="s">
        <v>20</v>
      </c>
      <c r="G132" s="5" t="s">
        <v>20</v>
      </c>
      <c r="H132" s="5" t="s">
        <v>78</v>
      </c>
      <c r="I132" s="5" t="s">
        <v>52</v>
      </c>
      <c r="J132" s="5" t="s">
        <v>20</v>
      </c>
      <c r="K132" s="5" t="s">
        <v>20</v>
      </c>
      <c r="L132" s="5" t="s">
        <v>45</v>
      </c>
      <c r="M132" s="5" t="s">
        <v>95</v>
      </c>
      <c r="N132" s="5" t="s">
        <v>31</v>
      </c>
      <c r="O132" s="5" t="s">
        <v>33</v>
      </c>
      <c r="P132" s="5" t="s">
        <v>20</v>
      </c>
      <c r="Q132" s="5" t="s">
        <v>20</v>
      </c>
      <c r="R132" s="5" t="s">
        <v>20</v>
      </c>
      <c r="S132" s="5" t="s">
        <v>20</v>
      </c>
      <c r="T132" s="5" t="s">
        <v>20</v>
      </c>
      <c r="U132" s="5" t="s">
        <v>20</v>
      </c>
      <c r="V132" s="3"/>
    </row>
    <row r="133" ht="15.75" customHeight="1">
      <c r="A133" s="6"/>
      <c r="B133" s="5" t="s">
        <v>20</v>
      </c>
      <c r="C133" s="5" t="s">
        <v>20</v>
      </c>
      <c r="D133" s="5" t="s">
        <v>20</v>
      </c>
      <c r="E133" s="5" t="s">
        <v>20</v>
      </c>
      <c r="F133" s="5" t="s">
        <v>20</v>
      </c>
      <c r="G133" s="5" t="s">
        <v>20</v>
      </c>
      <c r="H133" s="5" t="s">
        <v>51</v>
      </c>
      <c r="I133" s="5" t="s">
        <v>65</v>
      </c>
      <c r="J133" s="5" t="s">
        <v>20</v>
      </c>
      <c r="K133" s="5" t="s">
        <v>20</v>
      </c>
      <c r="L133" s="5" t="s">
        <v>28</v>
      </c>
      <c r="M133" s="5" t="s">
        <v>99</v>
      </c>
      <c r="N133" s="5" t="s">
        <v>44</v>
      </c>
      <c r="O133" s="5" t="s">
        <v>48</v>
      </c>
      <c r="P133" s="5" t="s">
        <v>20</v>
      </c>
      <c r="Q133" s="5" t="s">
        <v>20</v>
      </c>
      <c r="R133" s="5" t="s">
        <v>20</v>
      </c>
      <c r="S133" s="5" t="s">
        <v>20</v>
      </c>
      <c r="T133" s="5" t="s">
        <v>20</v>
      </c>
      <c r="U133" s="5" t="s">
        <v>20</v>
      </c>
      <c r="V133" s="3"/>
    </row>
    <row r="134" ht="15.75" customHeight="1">
      <c r="A134" s="6"/>
      <c r="B134" s="5" t="s">
        <v>20</v>
      </c>
      <c r="C134" s="5" t="s">
        <v>20</v>
      </c>
      <c r="D134" s="5" t="s">
        <v>20</v>
      </c>
      <c r="E134" s="5" t="s">
        <v>20</v>
      </c>
      <c r="F134" s="5" t="s">
        <v>20</v>
      </c>
      <c r="G134" s="5" t="s">
        <v>20</v>
      </c>
      <c r="H134" s="5" t="s">
        <v>95</v>
      </c>
      <c r="I134" s="5" t="s">
        <v>69</v>
      </c>
      <c r="J134" s="5" t="s">
        <v>20</v>
      </c>
      <c r="K134" s="5" t="s">
        <v>20</v>
      </c>
      <c r="L134" s="5" t="s">
        <v>109</v>
      </c>
      <c r="M134" s="5" t="s">
        <v>81</v>
      </c>
      <c r="N134" s="5" t="s">
        <v>20</v>
      </c>
      <c r="O134" s="5" t="s">
        <v>20</v>
      </c>
      <c r="P134" s="5" t="s">
        <v>20</v>
      </c>
      <c r="Q134" s="5" t="s">
        <v>20</v>
      </c>
      <c r="R134" s="5" t="s">
        <v>20</v>
      </c>
      <c r="S134" s="5" t="s">
        <v>20</v>
      </c>
      <c r="T134" s="5" t="s">
        <v>20</v>
      </c>
      <c r="U134" s="5" t="s">
        <v>20</v>
      </c>
      <c r="V134" s="3"/>
    </row>
    <row r="135" ht="15.75" customHeight="1">
      <c r="A135" s="6"/>
      <c r="B135" s="5" t="s">
        <v>20</v>
      </c>
      <c r="C135" s="5" t="s">
        <v>20</v>
      </c>
      <c r="D135" s="5" t="s">
        <v>20</v>
      </c>
      <c r="E135" s="5" t="s">
        <v>20</v>
      </c>
      <c r="F135" s="5" t="s">
        <v>20</v>
      </c>
      <c r="G135" s="5" t="s">
        <v>20</v>
      </c>
      <c r="H135" s="5" t="s">
        <v>97</v>
      </c>
      <c r="I135" s="5" t="s">
        <v>29</v>
      </c>
      <c r="J135" s="5" t="s">
        <v>20</v>
      </c>
      <c r="K135" s="5" t="s">
        <v>20</v>
      </c>
      <c r="L135" s="5" t="s">
        <v>99</v>
      </c>
      <c r="M135" s="5" t="s">
        <v>98</v>
      </c>
      <c r="N135" s="5" t="s">
        <v>20</v>
      </c>
      <c r="O135" s="5" t="s">
        <v>20</v>
      </c>
      <c r="P135" s="5" t="s">
        <v>20</v>
      </c>
      <c r="Q135" s="5" t="s">
        <v>20</v>
      </c>
      <c r="R135" s="5" t="s">
        <v>20</v>
      </c>
      <c r="S135" s="5" t="s">
        <v>20</v>
      </c>
      <c r="T135" s="5" t="s">
        <v>20</v>
      </c>
      <c r="U135" s="5" t="s">
        <v>20</v>
      </c>
      <c r="V135" s="3"/>
    </row>
    <row r="136" ht="15.75" customHeight="1">
      <c r="A136" s="6"/>
      <c r="B136" s="5" t="s">
        <v>20</v>
      </c>
      <c r="C136" s="5" t="s">
        <v>20</v>
      </c>
      <c r="D136" s="5" t="s">
        <v>20</v>
      </c>
      <c r="E136" s="5" t="s">
        <v>20</v>
      </c>
      <c r="F136" s="5" t="s">
        <v>20</v>
      </c>
      <c r="G136" s="5" t="s">
        <v>20</v>
      </c>
      <c r="H136" s="5" t="s">
        <v>98</v>
      </c>
      <c r="I136" s="5" t="s">
        <v>26</v>
      </c>
      <c r="J136" s="5" t="s">
        <v>20</v>
      </c>
      <c r="K136" s="5" t="s">
        <v>20</v>
      </c>
      <c r="L136" s="5" t="s">
        <v>110</v>
      </c>
      <c r="M136" s="5" t="s">
        <v>109</v>
      </c>
      <c r="N136" s="5" t="s">
        <v>20</v>
      </c>
      <c r="O136" s="5" t="s">
        <v>20</v>
      </c>
      <c r="P136" s="5" t="s">
        <v>20</v>
      </c>
      <c r="Q136" s="5" t="s">
        <v>20</v>
      </c>
      <c r="R136" s="5" t="s">
        <v>20</v>
      </c>
      <c r="S136" s="5" t="s">
        <v>20</v>
      </c>
      <c r="T136" s="5" t="s">
        <v>20</v>
      </c>
      <c r="U136" s="5" t="s">
        <v>20</v>
      </c>
      <c r="V136" s="3"/>
    </row>
    <row r="137" ht="15.75" customHeight="1">
      <c r="A137" s="7"/>
      <c r="B137" s="8" t="s">
        <v>20</v>
      </c>
      <c r="C137" s="8" t="s">
        <v>20</v>
      </c>
      <c r="D137" s="8" t="s">
        <v>20</v>
      </c>
      <c r="E137" s="8" t="s">
        <v>20</v>
      </c>
      <c r="F137" s="8" t="s">
        <v>20</v>
      </c>
      <c r="G137" s="8" t="s">
        <v>20</v>
      </c>
      <c r="H137" s="8" t="s">
        <v>81</v>
      </c>
      <c r="I137" s="8" t="s">
        <v>41</v>
      </c>
      <c r="J137" s="8" t="s">
        <v>20</v>
      </c>
      <c r="K137" s="8" t="s">
        <v>20</v>
      </c>
      <c r="L137" s="8" t="s">
        <v>20</v>
      </c>
      <c r="M137" s="8" t="s">
        <v>20</v>
      </c>
      <c r="N137" s="8" t="s">
        <v>20</v>
      </c>
      <c r="O137" s="8" t="s">
        <v>20</v>
      </c>
      <c r="P137" s="8" t="s">
        <v>20</v>
      </c>
      <c r="Q137" s="8" t="s">
        <v>20</v>
      </c>
      <c r="R137" s="8" t="s">
        <v>20</v>
      </c>
      <c r="S137" s="8" t="s">
        <v>20</v>
      </c>
      <c r="T137" s="8" t="s">
        <v>20</v>
      </c>
      <c r="U137" s="8" t="s">
        <v>20</v>
      </c>
      <c r="V137" s="3"/>
    </row>
    <row r="138" ht="15.75" customHeight="1">
      <c r="A138" s="4" t="s">
        <v>111</v>
      </c>
      <c r="B138" s="5" t="s">
        <v>20</v>
      </c>
      <c r="C138" s="5" t="s">
        <v>20</v>
      </c>
      <c r="D138" s="5" t="s">
        <v>20</v>
      </c>
      <c r="E138" s="5" t="s">
        <v>20</v>
      </c>
      <c r="F138" s="5" t="s">
        <v>20</v>
      </c>
      <c r="G138" s="5" t="s">
        <v>20</v>
      </c>
      <c r="H138" s="5" t="s">
        <v>20</v>
      </c>
      <c r="I138" s="5" t="s">
        <v>20</v>
      </c>
      <c r="J138" s="5" t="s">
        <v>20</v>
      </c>
      <c r="K138" s="5" t="s">
        <v>20</v>
      </c>
      <c r="L138" s="5" t="s">
        <v>20</v>
      </c>
      <c r="M138" s="5" t="s">
        <v>20</v>
      </c>
      <c r="N138" s="5" t="s">
        <v>20</v>
      </c>
      <c r="O138" s="5" t="s">
        <v>20</v>
      </c>
      <c r="P138" s="5" t="s">
        <v>20</v>
      </c>
      <c r="Q138" s="5" t="s">
        <v>31</v>
      </c>
      <c r="R138" s="5" t="s">
        <v>20</v>
      </c>
      <c r="S138" s="5" t="s">
        <v>33</v>
      </c>
      <c r="T138" s="5" t="s">
        <v>20</v>
      </c>
      <c r="U138" s="5" t="s">
        <v>20</v>
      </c>
      <c r="V138" s="3" t="str">
        <f>HYPERLINK("#مجمع!B" &amp; 28, "ورديات اليوم مجمعة")</f>
        <v>ورديات اليوم مجمعة</v>
      </c>
    </row>
    <row r="139" ht="15.75" customHeight="1">
      <c r="A139" s="6"/>
      <c r="B139" s="5" t="s">
        <v>20</v>
      </c>
      <c r="C139" s="5" t="s">
        <v>20</v>
      </c>
      <c r="D139" s="5" t="s">
        <v>20</v>
      </c>
      <c r="E139" s="5" t="s">
        <v>20</v>
      </c>
      <c r="F139" s="5" t="s">
        <v>20</v>
      </c>
      <c r="G139" s="5" t="s">
        <v>20</v>
      </c>
      <c r="H139" s="5" t="s">
        <v>20</v>
      </c>
      <c r="I139" s="5" t="s">
        <v>20</v>
      </c>
      <c r="J139" s="5" t="s">
        <v>20</v>
      </c>
      <c r="K139" s="5" t="s">
        <v>20</v>
      </c>
      <c r="L139" s="5" t="s">
        <v>20</v>
      </c>
      <c r="M139" s="5" t="s">
        <v>20</v>
      </c>
      <c r="N139" s="5" t="s">
        <v>20</v>
      </c>
      <c r="O139" s="5" t="s">
        <v>20</v>
      </c>
      <c r="P139" s="5" t="s">
        <v>20</v>
      </c>
      <c r="Q139" s="5" t="s">
        <v>88</v>
      </c>
      <c r="R139" s="5" t="s">
        <v>20</v>
      </c>
      <c r="S139" s="5" t="s">
        <v>23</v>
      </c>
      <c r="T139" s="5" t="s">
        <v>20</v>
      </c>
      <c r="U139" s="5" t="s">
        <v>20</v>
      </c>
      <c r="V139" s="3"/>
    </row>
    <row r="140" ht="15.75" customHeight="1">
      <c r="A140" s="6"/>
      <c r="B140" s="5" t="s">
        <v>20</v>
      </c>
      <c r="C140" s="5" t="s">
        <v>20</v>
      </c>
      <c r="D140" s="5" t="s">
        <v>20</v>
      </c>
      <c r="E140" s="5" t="s">
        <v>20</v>
      </c>
      <c r="F140" s="5" t="s">
        <v>20</v>
      </c>
      <c r="G140" s="5" t="s">
        <v>20</v>
      </c>
      <c r="H140" s="5" t="s">
        <v>20</v>
      </c>
      <c r="I140" s="5" t="s">
        <v>20</v>
      </c>
      <c r="J140" s="5" t="s">
        <v>20</v>
      </c>
      <c r="K140" s="5" t="s">
        <v>20</v>
      </c>
      <c r="L140" s="5" t="s">
        <v>20</v>
      </c>
      <c r="M140" s="5" t="s">
        <v>20</v>
      </c>
      <c r="N140" s="5" t="s">
        <v>20</v>
      </c>
      <c r="O140" s="5" t="s">
        <v>20</v>
      </c>
      <c r="P140" s="5" t="s">
        <v>20</v>
      </c>
      <c r="Q140" s="5" t="s">
        <v>78</v>
      </c>
      <c r="R140" s="5" t="s">
        <v>20</v>
      </c>
      <c r="S140" s="5" t="s">
        <v>55</v>
      </c>
      <c r="T140" s="5" t="s">
        <v>20</v>
      </c>
      <c r="U140" s="5" t="s">
        <v>20</v>
      </c>
      <c r="V140" s="3"/>
    </row>
    <row r="141" ht="15.75" customHeight="1">
      <c r="A141" s="6"/>
      <c r="B141" s="5" t="s">
        <v>20</v>
      </c>
      <c r="C141" s="5" t="s">
        <v>20</v>
      </c>
      <c r="D141" s="5" t="s">
        <v>20</v>
      </c>
      <c r="E141" s="5" t="s">
        <v>20</v>
      </c>
      <c r="F141" s="5" t="s">
        <v>20</v>
      </c>
      <c r="G141" s="5" t="s">
        <v>20</v>
      </c>
      <c r="H141" s="5" t="s">
        <v>20</v>
      </c>
      <c r="I141" s="5" t="s">
        <v>20</v>
      </c>
      <c r="J141" s="5" t="s">
        <v>20</v>
      </c>
      <c r="K141" s="5" t="s">
        <v>20</v>
      </c>
      <c r="L141" s="5" t="s">
        <v>20</v>
      </c>
      <c r="M141" s="5" t="s">
        <v>20</v>
      </c>
      <c r="N141" s="5" t="s">
        <v>20</v>
      </c>
      <c r="O141" s="5" t="s">
        <v>20</v>
      </c>
      <c r="P141" s="5" t="s">
        <v>20</v>
      </c>
      <c r="Q141" s="5" t="s">
        <v>95</v>
      </c>
      <c r="R141" s="5" t="s">
        <v>20</v>
      </c>
      <c r="S141" s="5" t="s">
        <v>26</v>
      </c>
      <c r="T141" s="5" t="s">
        <v>20</v>
      </c>
      <c r="U141" s="5" t="s">
        <v>20</v>
      </c>
      <c r="V141" s="3"/>
    </row>
    <row r="142" ht="15.75" customHeight="1">
      <c r="A142" s="6"/>
      <c r="B142" s="5" t="s">
        <v>20</v>
      </c>
      <c r="C142" s="5" t="s">
        <v>20</v>
      </c>
      <c r="D142" s="5" t="s">
        <v>20</v>
      </c>
      <c r="E142" s="5" t="s">
        <v>20</v>
      </c>
      <c r="F142" s="5" t="s">
        <v>20</v>
      </c>
      <c r="G142" s="5" t="s">
        <v>20</v>
      </c>
      <c r="H142" s="5" t="s">
        <v>20</v>
      </c>
      <c r="I142" s="5" t="s">
        <v>20</v>
      </c>
      <c r="J142" s="5" t="s">
        <v>20</v>
      </c>
      <c r="K142" s="5" t="s">
        <v>20</v>
      </c>
      <c r="L142" s="5" t="s">
        <v>20</v>
      </c>
      <c r="M142" s="5" t="s">
        <v>20</v>
      </c>
      <c r="N142" s="5" t="s">
        <v>20</v>
      </c>
      <c r="O142" s="5" t="s">
        <v>20</v>
      </c>
      <c r="P142" s="5" t="s">
        <v>20</v>
      </c>
      <c r="Q142" s="5" t="s">
        <v>98</v>
      </c>
      <c r="R142" s="5" t="s">
        <v>20</v>
      </c>
      <c r="S142" s="5" t="s">
        <v>20</v>
      </c>
      <c r="T142" s="5" t="s">
        <v>20</v>
      </c>
      <c r="U142" s="5" t="s">
        <v>20</v>
      </c>
      <c r="V142" s="3"/>
    </row>
    <row r="143" ht="15.75" customHeight="1">
      <c r="A143" s="6"/>
      <c r="B143" s="5" t="s">
        <v>20</v>
      </c>
      <c r="C143" s="5" t="s">
        <v>20</v>
      </c>
      <c r="D143" s="5" t="s">
        <v>20</v>
      </c>
      <c r="E143" s="5" t="s">
        <v>20</v>
      </c>
      <c r="F143" s="5" t="s">
        <v>20</v>
      </c>
      <c r="G143" s="5" t="s">
        <v>20</v>
      </c>
      <c r="H143" s="5" t="s">
        <v>20</v>
      </c>
      <c r="I143" s="5" t="s">
        <v>20</v>
      </c>
      <c r="J143" s="5" t="s">
        <v>20</v>
      </c>
      <c r="K143" s="5" t="s">
        <v>20</v>
      </c>
      <c r="L143" s="5" t="s">
        <v>20</v>
      </c>
      <c r="M143" s="5" t="s">
        <v>20</v>
      </c>
      <c r="N143" s="5" t="s">
        <v>20</v>
      </c>
      <c r="O143" s="5" t="s">
        <v>20</v>
      </c>
      <c r="P143" s="5" t="s">
        <v>20</v>
      </c>
      <c r="Q143" s="5" t="s">
        <v>97</v>
      </c>
      <c r="R143" s="5" t="s">
        <v>20</v>
      </c>
      <c r="S143" s="5" t="s">
        <v>20</v>
      </c>
      <c r="T143" s="5" t="s">
        <v>20</v>
      </c>
      <c r="U143" s="5" t="s">
        <v>20</v>
      </c>
      <c r="V143" s="3"/>
    </row>
    <row r="144" ht="15.75" customHeight="1">
      <c r="A144" s="7"/>
      <c r="B144" s="8" t="s">
        <v>20</v>
      </c>
      <c r="C144" s="8" t="s">
        <v>20</v>
      </c>
      <c r="D144" s="8" t="s">
        <v>20</v>
      </c>
      <c r="E144" s="8" t="s">
        <v>20</v>
      </c>
      <c r="F144" s="8" t="s">
        <v>20</v>
      </c>
      <c r="G144" s="8" t="s">
        <v>20</v>
      </c>
      <c r="H144" s="8" t="s">
        <v>20</v>
      </c>
      <c r="I144" s="8" t="s">
        <v>20</v>
      </c>
      <c r="J144" s="8" t="s">
        <v>20</v>
      </c>
      <c r="K144" s="8" t="s">
        <v>20</v>
      </c>
      <c r="L144" s="8" t="s">
        <v>20</v>
      </c>
      <c r="M144" s="8" t="s">
        <v>20</v>
      </c>
      <c r="N144" s="8" t="s">
        <v>20</v>
      </c>
      <c r="O144" s="8" t="s">
        <v>20</v>
      </c>
      <c r="P144" s="8" t="s">
        <v>20</v>
      </c>
      <c r="Q144" s="8" t="s">
        <v>44</v>
      </c>
      <c r="R144" s="8" t="s">
        <v>20</v>
      </c>
      <c r="S144" s="8" t="s">
        <v>20</v>
      </c>
      <c r="T144" s="8" t="s">
        <v>20</v>
      </c>
      <c r="U144" s="8" t="s">
        <v>20</v>
      </c>
      <c r="V144" s="3"/>
    </row>
  </sheetData>
  <mergeCells count="28">
    <mergeCell ref="A2:A5"/>
    <mergeCell ref="A6:A9"/>
    <mergeCell ref="A10:A12"/>
    <mergeCell ref="A13:A20"/>
    <mergeCell ref="A21:A27"/>
    <mergeCell ref="A28:A31"/>
    <mergeCell ref="A32:A35"/>
    <mergeCell ref="A36:A39"/>
    <mergeCell ref="A40:A43"/>
    <mergeCell ref="A44:A46"/>
    <mergeCell ref="A47:A54"/>
    <mergeCell ref="A55:A61"/>
    <mergeCell ref="A62:A65"/>
    <mergeCell ref="A66:A69"/>
    <mergeCell ref="A104:A107"/>
    <mergeCell ref="A108:A111"/>
    <mergeCell ref="A112:A114"/>
    <mergeCell ref="A115:A122"/>
    <mergeCell ref="A123:A129"/>
    <mergeCell ref="A130:A137"/>
    <mergeCell ref="A138:A144"/>
    <mergeCell ref="A70:A73"/>
    <mergeCell ref="A74:A77"/>
    <mergeCell ref="A78:A80"/>
    <mergeCell ref="A81:A88"/>
    <mergeCell ref="A89:A95"/>
    <mergeCell ref="A96:A99"/>
    <mergeCell ref="A100:A103"/>
  </mergeCells>
  <conditionalFormatting sqref="B2:U144">
    <cfRule type="containsBlanks" dxfId="0" priority="1">
      <formula>LEN(TRIM(B2))=0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22.71"/>
    <col customWidth="1" min="3" max="3" width="16.71"/>
    <col customWidth="1" min="4" max="11" width="8.71"/>
  </cols>
  <sheetData>
    <row r="1">
      <c r="A1" s="2" t="s">
        <v>112</v>
      </c>
      <c r="B1" s="2" t="s">
        <v>113</v>
      </c>
      <c r="C1" s="2" t="s">
        <v>0</v>
      </c>
    </row>
    <row r="2">
      <c r="A2" s="1" t="s">
        <v>19</v>
      </c>
      <c r="B2" s="5" t="str">
        <f>"" &amp; "■■ " &amp; 'الجدول'!B1 &amp; " ■■" &amp; CHAR(10) &amp; "• " &amp; 'الجدول'!B2 &amp; CHAR(10) &amp; "• " &amp; 'الجدول'!B3 &amp; CHAR(10) &amp; "• " &amp; 'الجدول'!B4 &amp; CHAR(10) &amp; "• " &amp; 'الجدول'!B5 &amp; CHAR(10) &amp; CHAR(10) &amp; "■■ " &amp; 'الجدول'!C1 &amp; " ■■" &amp; CHAR(10) &amp; "• " &amp; 'الجدول'!C2 &amp; CHAR(10) &amp; "• " &amp; 'الجدول'!C3 &amp; CHAR(10) &amp; "• " &amp; 'الجدول'!C4 &amp; CHAR(10) &amp; "• " &amp; 'الجدول'!C5 &amp; CHAR(10) &amp; CHAR(10) &amp; "■■ " &amp; 'الجدول'!D1 &amp; " ■■" &amp; CHAR(10) &amp; "• " &amp; 'الجدول'!D2 &amp; CHAR(10) &amp; "• " &amp; 'الجدول'!D3 &amp; CHAR(10) &amp; "• " &amp; 'الجدول'!D4 &amp; CHAR(10) &amp; "• " &amp; 'الجدول'!D5 &amp; CHAR(10) &amp; CHAR(10) &amp; "■■ " &amp; 'الجدول'!E1 &amp; " ■■" &amp; CHAR(10) &amp; "• " &amp; 'الجدول'!E2 &amp; CHAR(10) &amp; "• " &amp; 'الجدول'!E3 &amp; CHAR(10) &amp; "• " &amp; 'الجدول'!E4 &amp; CHAR(10) &amp; "• " &amp; 'الجدول'!E5 &amp; CHAR(10) &amp; CHAR(10) &amp; "■■ " &amp; 'الجدول'!F1 &amp; " ■■" &amp; CHAR(10) &amp; "• " &amp; 'الجدول'!F2 &amp; CHAR(10) &amp; "• " &amp; 'الجدول'!F3 &amp; CHAR(10) &amp; "• " &amp; 'الجدول'!F4 &amp; CHAR(10) &amp; "• " &amp; 'الجدول'!F5 &amp; CHAR(10) &amp; CHAR(10) &amp; "■■ " &amp; 'الجدول'!G1 &amp; " ■■" &amp; CHAR(10) &amp; "• " &amp; 'الجدول'!G2 &amp; CHAR(10) &amp; "• " &amp; 'الجدول'!G3 &amp; CHAR(10) &amp; "• " &amp; 'الجدول'!G4 &amp; CHAR(10) &amp; "• " &amp; 'الجدول'!G5 &amp; CHAR(10) &amp; CHAR(10) &amp; "■■ " &amp; 'الجدول'!H1 &amp; " ■■" &amp; CHAR(10) &amp; "• " &amp; 'الجدول'!H2 &amp; CHAR(10) &amp; "• " &amp; 'الجدول'!H3 &amp; CHAR(10) &amp; "• " &amp; 'الجدول'!H4 &amp; CHAR(10) &amp; "• " &amp; 'الجدول'!H5 &amp; CHAR(10) &amp; CHAR(10) &amp; "■■ " &amp; 'الجدول'!I1 &amp; " ■■" &amp; CHAR(10) &amp; "• " &amp; 'الجدول'!I2 &amp; CHAR(10) &amp; "• " &amp; 'الجدول'!I3 &amp; CHAR(10) &amp; "• " &amp; 'الجدول'!I4 &amp; CHAR(10) &amp; "• " &amp; 'الجدول'!I5 &amp; CHAR(10) &amp; CHAR(10) &amp; "■■ " &amp; 'الجدول'!J1 &amp; " ■■" &amp; CHAR(10) &amp; "• " &amp; 'الجدول'!J2 &amp; CHAR(10) &amp; "• " &amp; 'الجدول'!J3 &amp; CHAR(10) &amp; "• " &amp; 'الجدول'!J4 &amp; CHAR(10) &amp; "• " &amp; 'الجدول'!J5 &amp; CHAR(10) &amp; CHAR(10) &amp; "■■ " &amp; 'الجدول'!K1 &amp; " ■■" &amp; CHAR(10) &amp; "• " &amp; 'الجدول'!K2 &amp; CHAR(10) &amp; "• " &amp; 'الجدول'!K3 &amp; CHAR(10) &amp; "• " &amp; 'الجدول'!K4 &amp; CHAR(10) &amp; "• " &amp; 'الجدول'!K5 &amp; CHAR(10) &amp; CHAR(10) &amp; "■■ " &amp; 'الجدول'!L1 &amp; " ■■" &amp; CHAR(10) &amp; "• " &amp; 'الجدول'!L2 &amp; CHAR(10) &amp; "• " &amp; 'الجدول'!L3 &amp; CHAR(10) &amp; "• " &amp; 'الجدول'!L4 &amp; CHAR(10) &amp; "• " &amp; 'الجدول'!L5 &amp; CHAR(10) &amp; CHAR(10) &amp; "■■ " &amp; 'الجدول'!M1 &amp; " ■■" &amp; CHAR(10) &amp; "• " &amp; 'الجدول'!M2 &amp; CHAR(10) &amp; "• " &amp; 'الجدول'!M3 &amp; CHAR(10) &amp; "• " &amp; 'الجدول'!M4 &amp; CHAR(10) &amp; "• " &amp; 'الجدول'!M5 &amp; CHAR(10) &amp; CHAR(10) &amp; "■■ " &amp; 'الجدول'!N1 &amp; " ■■" &amp; CHAR(10) &amp; "• " &amp; 'الجدول'!N2 &amp; CHAR(10) &amp; "• " &amp; 'الجدول'!N3 &amp; CHAR(10) &amp; "• " &amp; 'الجدول'!N4 &amp; CHAR(10) &amp; "• " &amp; 'الجدول'!N5 &amp; CHAR(10) &amp; CHAR(10) &amp; "■■ " &amp; 'الجدول'!O1 &amp; " ■■" &amp; CHAR(10) &amp; "• " &amp; 'الجدول'!O2 &amp; CHAR(10) &amp; "• " &amp; 'الجدول'!O3 &amp; CHAR(10) &amp; "• " &amp; 'الجدول'!O4 &amp; CHAR(10) &amp; "• " &amp; 'الجدول'!O5 &amp; CHAR(10) &amp; CHAR(10) &amp; "■■ " &amp; 'الجدول'!P1 &amp; " ■■" &amp; CHAR(10) &amp; "• " &amp; 'الجدول'!P2 &amp; CHAR(10) &amp; "• " &amp; 'الجدول'!P3 &amp; CHAR(10) &amp; "• " &amp; 'الجدول'!P4 &amp; CHAR(10) &amp; "• " &amp; 'الجدول'!P5 &amp; CHAR(10) &amp; CHAR(10) &amp; "■■ " &amp; 'الجدول'!Q1 &amp; " ■■" &amp; CHAR(10) &amp; "• " &amp; 'الجدول'!Q2 &amp; CHAR(10) &amp; "• " &amp; 'الجدول'!Q3 &amp; CHAR(10) &amp; "• " &amp; 'الجدول'!Q4 &amp; CHAR(10) &amp; "• " &amp; 'الجدول'!Q5 &amp; CHAR(10) &amp; CHAR(10) &amp; "■■ " &amp; 'الجدول'!R1 &amp; " ■■" &amp; CHAR(10) &amp; "• " &amp; 'الجدول'!R2 &amp; CHAR(10) &amp; "• " &amp; 'الجدول'!R3 &amp; CHAR(10) &amp; "• " &amp; 'الجدول'!R4 &amp; CHAR(10) &amp; "• " &amp; 'الجدول'!R5 &amp; CHAR(10) &amp; CHAR(10) &amp; "■■ " &amp; 'الجدول'!S1 &amp; " ■■" &amp; CHAR(10) &amp; "• " &amp; 'الجدول'!S2 &amp; CHAR(10) &amp; "• " &amp; 'الجدول'!S3 &amp; CHAR(10) &amp; "• " &amp; 'الجدول'!S4 &amp; CHAR(10) &amp; "• " &amp; 'الجدول'!S5 &amp; CHAR(10) &amp; CHAR(10) &amp; "■■ " &amp; 'الجدول'!T1 &amp; " ■■" &amp; CHAR(10) &amp; "• " &amp; 'الجدول'!T2 &amp; CHAR(10) &amp; "• " &amp; 'الجدول'!T3 &amp; CHAR(10) &amp; "• " &amp; 'الجدول'!T4 &amp; CHAR(10) &amp; "• " &amp; 'الجدول'!T5 &amp; CHAR(10) &amp; CHAR(10) &amp; "■■ " &amp; 'الجدول'!U1 &amp; " ■■" &amp; CHAR(10) &amp; "• " &amp; 'الجدول'!U2 &amp; CHAR(10) &amp; "• " &amp; 'الجدول'!U3 &amp; CHAR(10) &amp; "• " &amp; 'الجدول'!U4 &amp; CHAR(10) &amp; "• " &amp; 'الجدول'!U5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عمر محمد عبد الفتاح
(01102262698)
• تمارا خالد جمال الدين
(01096688868)
• هبة جمال محمد محمد
(01027181761)
• Mohamed lotfy
(01064810610)
■■ شيفت صباحى ■■
• ----------
• ----------
• ----------
• ----------
■■ شيفت مسائى ■■
• أحمد محمد أحمد
(01112122129)
• عمر محمد أحمد
(01208321212)
• رحاب يحيي احمد
(01150081936)
• ----------
■■ شيفت مسائى ■■
• ----------
• ----------
• ----------
• ----------
■■ ليستة ■■
• محمد علي جادالرب
(01553129877)
• Mahinour Ashraf Soud
(01068470463)
• ----------
• ----------
</v>
      </c>
      <c r="C2" s="3" t="str">
        <f>HYPERLINK("#الجدول!A" &amp; 1, "الجدول الأساسي")</f>
        <v>الجدول الأساسي</v>
      </c>
    </row>
    <row r="3">
      <c r="A3" s="1" t="s">
        <v>30</v>
      </c>
      <c r="B3" s="5" t="str">
        <f>"" &amp; "■■ " &amp; 'الجدول'!B1 &amp; " ■■" &amp; CHAR(10) &amp; "• " &amp; 'الجدول'!B6 &amp; CHAR(10) &amp; "• " &amp; 'الجدول'!B7 &amp; CHAR(10) &amp; "• " &amp; 'الجدول'!B8 &amp; CHAR(10) &amp; "• " &amp; 'الجدول'!B9 &amp; CHAR(10) &amp; CHAR(10) &amp; "■■ " &amp; 'الجدول'!C1 &amp; " ■■" &amp; CHAR(10) &amp; "• " &amp; 'الجدول'!C6 &amp; CHAR(10) &amp; "• " &amp; 'الجدول'!C7 &amp; CHAR(10) &amp; "• " &amp; 'الجدول'!C8 &amp; CHAR(10) &amp; "• " &amp; 'الجدول'!C9 &amp; CHAR(10) &amp; CHAR(10) &amp; "■■ " &amp; 'الجدول'!D1 &amp; " ■■" &amp; CHAR(10) &amp; "• " &amp; 'الجدول'!D6 &amp; CHAR(10) &amp; "• " &amp; 'الجدول'!D7 &amp; CHAR(10) &amp; "• " &amp; 'الجدول'!D8 &amp; CHAR(10) &amp; "• " &amp; 'الجدول'!D9 &amp; CHAR(10) &amp; CHAR(10) &amp; "■■ " &amp; 'الجدول'!E1 &amp; " ■■" &amp; CHAR(10) &amp; "• " &amp; 'الجدول'!E6 &amp; CHAR(10) &amp; "• " &amp; 'الجدول'!E7 &amp; CHAR(10) &amp; "• " &amp; 'الجدول'!E8 &amp; CHAR(10) &amp; "• " &amp; 'الجدول'!E9 &amp; CHAR(10) &amp; CHAR(10) &amp; "■■ " &amp; 'الجدول'!F1 &amp; " ■■" &amp; CHAR(10) &amp; "• " &amp; 'الجدول'!F6 &amp; CHAR(10) &amp; "• " &amp; 'الجدول'!F7 &amp; CHAR(10) &amp; "• " &amp; 'الجدول'!F8 &amp; CHAR(10) &amp; "• " &amp; 'الجدول'!F9 &amp; CHAR(10) &amp; CHAR(10) &amp; "■■ " &amp; 'الجدول'!G1 &amp; " ■■" &amp; CHAR(10) &amp; "• " &amp; 'الجدول'!G6 &amp; CHAR(10) &amp; "• " &amp; 'الجدول'!G7 &amp; CHAR(10) &amp; "• " &amp; 'الجدول'!G8 &amp; CHAR(10) &amp; "• " &amp; 'الجدول'!G9 &amp; CHAR(10) &amp; CHAR(10) &amp; "■■ " &amp; 'الجدول'!H1 &amp; " ■■" &amp; CHAR(10) &amp; "• " &amp; 'الجدول'!H6 &amp; CHAR(10) &amp; "• " &amp; 'الجدول'!H7 &amp; CHAR(10) &amp; "• " &amp; 'الجدول'!H8 &amp; CHAR(10) &amp; "• " &amp; 'الجدول'!H9 &amp; CHAR(10) &amp; CHAR(10) &amp; "■■ " &amp; 'الجدول'!I1 &amp; " ■■" &amp; CHAR(10) &amp; "• " &amp; 'الجدول'!I6 &amp; CHAR(10) &amp; "• " &amp; 'الجدول'!I7 &amp; CHAR(10) &amp; "• " &amp; 'الجدول'!I8 &amp; CHAR(10) &amp; "• " &amp; 'الجدول'!I9 &amp; CHAR(10) &amp; CHAR(10) &amp; "■■ " &amp; 'الجدول'!J1 &amp; " ■■" &amp; CHAR(10) &amp; "• " &amp; 'الجدول'!J6 &amp; CHAR(10) &amp; "• " &amp; 'الجدول'!J7 &amp; CHAR(10) &amp; "• " &amp; 'الجدول'!J8 &amp; CHAR(10) &amp; "• " &amp; 'الجدول'!J9 &amp; CHAR(10) &amp; CHAR(10) &amp; "■■ " &amp; 'الجدول'!K1 &amp; " ■■" &amp; CHAR(10) &amp; "• " &amp; 'الجدول'!K6 &amp; CHAR(10) &amp; "• " &amp; 'الجدول'!K7 &amp; CHAR(10) &amp; "• " &amp; 'الجدول'!K8 &amp; CHAR(10) &amp; "• " &amp; 'الجدول'!K9 &amp; CHAR(10) &amp; CHAR(10) &amp; "■■ " &amp; 'الجدول'!L1 &amp; " ■■" &amp; CHAR(10) &amp; "• " &amp; 'الجدول'!L6 &amp; CHAR(10) &amp; "• " &amp; 'الجدول'!L7 &amp; CHAR(10) &amp; "• " &amp; 'الجدول'!L8 &amp; CHAR(10) &amp; "• " &amp; 'الجدول'!L9 &amp; CHAR(10) &amp; CHAR(10) &amp; "■■ " &amp; 'الجدول'!M1 &amp; " ■■" &amp; CHAR(10) &amp; "• " &amp; 'الجدول'!M6 &amp; CHAR(10) &amp; "• " &amp; 'الجدول'!M7 &amp; CHAR(10) &amp; "• " &amp; 'الجدول'!M8 &amp; CHAR(10) &amp; "• " &amp; 'الجدول'!M9 &amp; CHAR(10) &amp; CHAR(10) &amp; "■■ " &amp; 'الجدول'!N1 &amp; " ■■" &amp; CHAR(10) &amp; "• " &amp; 'الجدول'!N6 &amp; CHAR(10) &amp; "• " &amp; 'الجدول'!N7 &amp; CHAR(10) &amp; "• " &amp; 'الجدول'!N8 &amp; CHAR(10) &amp; "• " &amp; 'الجدول'!N9 &amp; CHAR(10) &amp; CHAR(10) &amp; "■■ " &amp; 'الجدول'!O1 &amp; " ■■" &amp; CHAR(10) &amp; "• " &amp; 'الجدول'!O6 &amp; CHAR(10) &amp; "• " &amp; 'الجدول'!O7 &amp; CHAR(10) &amp; "• " &amp; 'الجدول'!O8 &amp; CHAR(10) &amp; "• " &amp; 'الجدول'!O9 &amp; CHAR(10) &amp; CHAR(10) &amp; "■■ " &amp; 'الجدول'!P1 &amp; " ■■" &amp; CHAR(10) &amp; "• " &amp; 'الجدول'!P6 &amp; CHAR(10) &amp; "• " &amp; 'الجدول'!P7 &amp; CHAR(10) &amp; "• " &amp; 'الجدول'!P8 &amp; CHAR(10) &amp; "• " &amp; 'الجدول'!P9 &amp; CHAR(10) &amp; CHAR(10) &amp; "■■ " &amp; 'الجدول'!Q1 &amp; " ■■" &amp; CHAR(10) &amp; "• " &amp; 'الجدول'!Q6 &amp; CHAR(10) &amp; "• " &amp; 'الجدول'!Q7 &amp; CHAR(10) &amp; "• " &amp; 'الجدول'!Q8 &amp; CHAR(10) &amp; "• " &amp; 'الجدول'!Q9 &amp; CHAR(10) &amp; CHAR(10) &amp; "■■ " &amp; 'الجدول'!R1 &amp; " ■■" &amp; CHAR(10) &amp; "• " &amp; 'الجدول'!R6 &amp; CHAR(10) &amp; "• " &amp; 'الجدول'!R7 &amp; CHAR(10) &amp; "• " &amp; 'الجدول'!R8 &amp; CHAR(10) &amp; "• " &amp; 'الجدول'!R9 &amp; CHAR(10) &amp; CHAR(10) &amp; "■■ " &amp; 'الجدول'!S1 &amp; " ■■" &amp; CHAR(10) &amp; "• " &amp; 'الجدول'!S6 &amp; CHAR(10) &amp; "• " &amp; 'الجدول'!S7 &amp; CHAR(10) &amp; "• " &amp; 'الجدول'!S8 &amp; CHAR(10) &amp; "• " &amp; 'الجدول'!S9 &amp; CHAR(10) &amp; CHAR(10) &amp; "■■ " &amp; 'الجدول'!T1 &amp; " ■■" &amp; CHAR(10) &amp; "• " &amp; 'الجدول'!T6 &amp; CHAR(10) &amp; "• " &amp; 'الجدول'!T7 &amp; CHAR(10) &amp; "• " &amp; 'الجدول'!T8 &amp; CHAR(10) &amp; "• " &amp; 'الجدول'!T9 &amp; CHAR(10) &amp; CHAR(10) &amp; "■■ " &amp; 'الجدول'!U1 &amp; " ■■" &amp; CHAR(10) &amp; "• " &amp; 'الجدول'!U6 &amp; CHAR(10) &amp; "• " &amp; 'الجدول'!U7 &amp; CHAR(10) &amp; "• " &amp; 'الجدول'!U8 &amp; CHAR(10) &amp; "• " &amp; 'الجدول'!U9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مصطفى رمضان مصطفى
(01274212921)
• مريم علاء محمود
(01001770021)
• مروان عبد المقصود نصر
(01272940086)
• خالد شريف البجيرمي
(01062857469)
■■ شيفت صباحى ■■
• ----------
• ----------
• ----------
• ----------
■■ شيفت مسائى ■■
• عبدالرحمن رمضان رزق
(01098897354)
• أحمد شعبان أحمد
(01093392523)
• عائشة عمرو قرشي
(01002171719)
• ----------
■■ شيفت مسائى ■■
• ----------
• ----------
• ----------
• ----------
■■ ليستة ■■
• Nada Mohamed Ahmed
(01141380592)
• ابراهيم احمد السيد
(01158350951)
• ----------
• ----------
</v>
      </c>
      <c r="C3" s="3" t="str">
        <f>HYPERLINK("#الجدول!A" &amp; 5, "الجدول الأساسي")</f>
        <v>الجدول الأساسي</v>
      </c>
    </row>
    <row r="4">
      <c r="A4" s="1" t="s">
        <v>40</v>
      </c>
      <c r="B4" s="5" t="str">
        <f>"" &amp; "■■ " &amp; 'الجدول'!B1 &amp; " ■■" &amp; CHAR(10) &amp; "• " &amp; 'الجدول'!B10 &amp; CHAR(10) &amp; "• " &amp; 'الجدول'!B11 &amp; CHAR(10) &amp; "• " &amp; 'الجدول'!B12 &amp; CHAR(10) &amp; CHAR(10) &amp; "■■ " &amp; 'الجدول'!C1 &amp; " ■■" &amp; CHAR(10) &amp; "• " &amp; 'الجدول'!C10 &amp; CHAR(10) &amp; "• " &amp; 'الجدول'!C11 &amp; CHAR(10) &amp; "• " &amp; 'الجدول'!C12 &amp; CHAR(10) &amp; CHAR(10) &amp; "■■ " &amp; 'الجدول'!D1 &amp; " ■■" &amp; CHAR(10) &amp; "• " &amp; 'الجدول'!D10 &amp; CHAR(10) &amp; "• " &amp; 'الجدول'!D11 &amp; CHAR(10) &amp; "• " &amp; 'الجدول'!D12 &amp; CHAR(10) &amp; CHAR(10) &amp; "■■ " &amp; 'الجدول'!E1 &amp; " ■■" &amp; CHAR(10) &amp; "• " &amp; 'الجدول'!E10 &amp; CHAR(10) &amp; "• " &amp; 'الجدول'!E11 &amp; CHAR(10) &amp; "• " &amp; 'الجدول'!E12 &amp; CHAR(10) &amp; CHAR(10) &amp; "■■ " &amp; 'الجدول'!F1 &amp; " ■■" &amp; CHAR(10) &amp; "• " &amp; 'الجدول'!F10 &amp; CHAR(10) &amp; "• " &amp; 'الجدول'!F11 &amp; CHAR(10) &amp; "• " &amp; 'الجدول'!F12 &amp; CHAR(10) &amp; CHAR(10) &amp; "■■ " &amp; 'الجدول'!G1 &amp; " ■■" &amp; CHAR(10) &amp; "• " &amp; 'الجدول'!G10 &amp; CHAR(10) &amp; "• " &amp; 'الجدول'!G11 &amp; CHAR(10) &amp; "• " &amp; 'الجدول'!G12 &amp; CHAR(10) &amp; CHAR(10) &amp; "■■ " &amp; 'الجدول'!H1 &amp; " ■■" &amp; CHAR(10) &amp; "• " &amp; 'الجدول'!H10 &amp; CHAR(10) &amp; "• " &amp; 'الجدول'!H11 &amp; CHAR(10) &amp; "• " &amp; 'الجدول'!H12 &amp; CHAR(10) &amp; CHAR(10) &amp; "■■ " &amp; 'الجدول'!I1 &amp; " ■■" &amp; CHAR(10) &amp; "• " &amp; 'الجدول'!I10 &amp; CHAR(10) &amp; "• " &amp; 'الجدول'!I11 &amp; CHAR(10) &amp; "• " &amp; 'الجدول'!I12 &amp; CHAR(10) &amp; CHAR(10) &amp; "■■ " &amp; 'الجدول'!J1 &amp; " ■■" &amp; CHAR(10) &amp; "• " &amp; 'الجدول'!J10 &amp; CHAR(10) &amp; "• " &amp; 'الجدول'!J11 &amp; CHAR(10) &amp; "• " &amp; 'الجدول'!J12 &amp; CHAR(10) &amp; CHAR(10) &amp; "■■ " &amp; 'الجدول'!K1 &amp; " ■■" &amp; CHAR(10) &amp; "• " &amp; 'الجدول'!K10 &amp; CHAR(10) &amp; "• " &amp; 'الجدول'!K11 &amp; CHAR(10) &amp; "• " &amp; 'الجدول'!K12 &amp; CHAR(10) &amp; CHAR(10) &amp; "■■ " &amp; 'الجدول'!L1 &amp; " ■■" &amp; CHAR(10) &amp; "• " &amp; 'الجدول'!L10 &amp; CHAR(10) &amp; "• " &amp; 'الجدول'!L11 &amp; CHAR(10) &amp; "• " &amp; 'الجدول'!L12 &amp; CHAR(10) &amp; CHAR(10) &amp; "■■ " &amp; 'الجدول'!M1 &amp; " ■■" &amp; CHAR(10) &amp; "• " &amp; 'الجدول'!M10 &amp; CHAR(10) &amp; "• " &amp; 'الجدول'!M11 &amp; CHAR(10) &amp; "• " &amp; 'الجدول'!M12 &amp; CHAR(10) &amp; CHAR(10) &amp; "■■ " &amp; 'الجدول'!N1 &amp; " ■■" &amp; CHAR(10) &amp; "• " &amp; 'الجدول'!N10 &amp; CHAR(10) &amp; "• " &amp; 'الجدول'!N11 &amp; CHAR(10) &amp; "• " &amp; 'الجدول'!N12 &amp; CHAR(10) &amp; CHAR(10) &amp; "■■ " &amp; 'الجدول'!O1 &amp; " ■■" &amp; CHAR(10) &amp; "• " &amp; 'الجدول'!O10 &amp; CHAR(10) &amp; "• " &amp; 'الجدول'!O11 &amp; CHAR(10) &amp; "• " &amp; 'الجدول'!O12 &amp; CHAR(10) &amp; CHAR(10) &amp; "■■ " &amp; 'الجدول'!P1 &amp; " ■■" &amp; CHAR(10) &amp; "• " &amp; 'الجدول'!P10 &amp; CHAR(10) &amp; "• " &amp; 'الجدول'!P11 &amp; CHAR(10) &amp; "• " &amp; 'الجدول'!P12 &amp; CHAR(10) &amp; CHAR(10) &amp; "■■ " &amp; 'الجدول'!Q1 &amp; " ■■" &amp; CHAR(10) &amp; "• " &amp; 'الجدول'!Q10 &amp; CHAR(10) &amp; "• " &amp; 'الجدول'!Q11 &amp; CHAR(10) &amp; "• " &amp; 'الجدول'!Q12 &amp; CHAR(10) &amp; CHAR(10) &amp; "■■ " &amp; 'الجدول'!R1 &amp; " ■■" &amp; CHAR(10) &amp; "• " &amp; 'الجدول'!R10 &amp; CHAR(10) &amp; "• " &amp; 'الجدول'!R11 &amp; CHAR(10) &amp; "• " &amp; 'الجدول'!R12 &amp; CHAR(10) &amp; CHAR(10) &amp; "■■ " &amp; 'الجدول'!S1 &amp; " ■■" &amp; CHAR(10) &amp; "• " &amp; 'الجدول'!S10 &amp; CHAR(10) &amp; "• " &amp; 'الجدول'!S11 &amp; CHAR(10) &amp; "• " &amp; 'الجدول'!S12 &amp; CHAR(10) &amp; CHAR(10) &amp; "■■ " &amp; 'الجدول'!T1 &amp; " ■■" &amp; CHAR(10) &amp; "• " &amp; 'الجدول'!T10 &amp; CHAR(10) &amp; "• " &amp; 'الجدول'!T11 &amp; CHAR(10) &amp; "• " &amp; 'الجدول'!T12 &amp; CHAR(10) &amp; CHAR(10) &amp; "■■ " &amp; 'الجدول'!U1 &amp; " ■■" &amp; CHAR(10) &amp; "• " &amp; 'الجدول'!U10 &amp; CHAR(10) &amp; "• " &amp; 'الجدول'!U11 &amp; CHAR(10) &amp; "• " &amp; 'الجدول'!U12 &amp; CHAR(10) &amp; CHAR(10)</f>
        <v>■■ A) DAY CLINIC THEN OPERATIONS ■■
• ----------
• ----------
• ----------
■■ A) NIGHT OPERATIONS ■■
• ----------
• ----------
• ----------
■■ B) DAY SENIOR GENERAL ■■
• ----------
• ----------
• ----------
■■ B) NIGHT SENIOR GENERAL ■■
• ----------
• ----------
• ----------
■■ C) DAY ADMISSION ■■
• ----------
• ----------
• ----------
■■ C) NIGHT ADMISSION ■■
• ----------
• ----------
• ----------
■■ D) DAY GENERAL ■■
• ----------
• ----------
• ----------
■■ D) NIGHT GENERAL ■■
• ----------
• ----------
• ----------
■■ E) DAY SENIOR PT ■■
• ----------
• ----------
• ----------
■■ E) NIGHT SENIOR PT ■■
• ----------
• ----------
• ----------
■■ F) DAY PT ■■
• ----------
• ----------
• ----------
■■ F) NIGHT PT ■■
• ----------
• ----------
• ----------
■■ G) DAY WARD ■■
• ----------
• ----------
• ----------
■■ G) NIGHT WARD ■■
• ----------
• ----------
• ----------
■■ Shift ward 1-8pm ■■
• ميار مسعد توفيق
(01153028000)
• أحمد محمد أحمد
(01112122129)
• ----------
■■ شيفت صباحى ■■
• سارة امين انور
(01212624091)
• جورج ممدوح
(01207444355)
• فاطمة أحمد درويش
(01093879135)
■■ شيفت صباحى ■■
• ----------
• ----------
• ----------
■■ شيفت مسائى ■■
• ابراهيم احمد السيد
(01158350951)
• مصطفي ابراهيم عبدالرحيم
(01098440316)
• ----------
■■ شيفت مسائى ■■
• ----------
• ----------
• ----------
■■ ليستة ■■
• ----------
• ----------
• ----------
</v>
      </c>
      <c r="C4" s="3" t="str">
        <f>HYPERLINK("#الجدول!A" &amp; 9, "الجدول الأساسي")</f>
        <v>الجدول الأساسي</v>
      </c>
    </row>
    <row r="5">
      <c r="A5" s="1" t="s">
        <v>46</v>
      </c>
      <c r="B5" s="5" t="str">
        <f>"" &amp; "■■ " &amp; 'الجدول'!B1 &amp; " ■■" &amp; CHAR(10) &amp; "• " &amp; 'الجدول'!B13 &amp; CHAR(10) &amp; "• " &amp; 'الجدول'!B14 &amp; CHAR(10) &amp; "• " &amp; 'الجدول'!B15 &amp; CHAR(10) &amp; "• " &amp; 'الجدول'!B16 &amp; CHAR(10) &amp; "• " &amp; 'الجدول'!B17 &amp; CHAR(10) &amp; "• " &amp; 'الجدول'!B18 &amp; CHAR(10) &amp; "• " &amp; 'الجدول'!B19 &amp; CHAR(10) &amp; "• " &amp; 'الجدول'!B20 &amp; CHAR(10) &amp; CHAR(10) &amp; "■■ " &amp; 'الجدول'!C1 &amp; " ■■" &amp; CHAR(10) &amp; "• " &amp; 'الجدول'!C13 &amp; CHAR(10) &amp; "• " &amp; 'الجدول'!C14 &amp; CHAR(10) &amp; "• " &amp; 'الجدول'!C15 &amp; CHAR(10) &amp; "• " &amp; 'الجدول'!C16 &amp; CHAR(10) &amp; "• " &amp; 'الجدول'!C17 &amp; CHAR(10) &amp; "• " &amp; 'الجدول'!C18 &amp; CHAR(10) &amp; "• " &amp; 'الجدول'!C19 &amp; CHAR(10) &amp; "• " &amp; 'الجدول'!C20 &amp; CHAR(10) &amp; CHAR(10) &amp; "■■ " &amp; 'الجدول'!D1 &amp; " ■■" &amp; CHAR(10) &amp; "• " &amp; 'الجدول'!D13 &amp; CHAR(10) &amp; "• " &amp; 'الجدول'!D14 &amp; CHAR(10) &amp; "• " &amp; 'الجدول'!D15 &amp; CHAR(10) &amp; "• " &amp; 'الجدول'!D16 &amp; CHAR(10) &amp; "• " &amp; 'الجدول'!D17 &amp; CHAR(10) &amp; "• " &amp; 'الجدول'!D18 &amp; CHAR(10) &amp; "• " &amp; 'الجدول'!D19 &amp; CHAR(10) &amp; "• " &amp; 'الجدول'!D20 &amp; CHAR(10) &amp; CHAR(10) &amp; "■■ " &amp; 'الجدول'!E1 &amp; " ■■" &amp; CHAR(10) &amp; "• " &amp; 'الجدول'!E13 &amp; CHAR(10) &amp; "• " &amp; 'الجدول'!E14 &amp; CHAR(10) &amp; "• " &amp; 'الجدول'!E15 &amp; CHAR(10) &amp; "• " &amp; 'الجدول'!E16 &amp; CHAR(10) &amp; "• " &amp; 'الجدول'!E17 &amp; CHAR(10) &amp; "• " &amp; 'الجدول'!E18 &amp; CHAR(10) &amp; "• " &amp; 'الجدول'!E19 &amp; CHAR(10) &amp; "• " &amp; 'الجدول'!E20 &amp; CHAR(10) &amp; CHAR(10) &amp; "■■ " &amp; 'الجدول'!F1 &amp; " ■■" &amp; CHAR(10) &amp; "• " &amp; 'الجدول'!F13 &amp; CHAR(10) &amp; "• " &amp; 'الجدول'!F14 &amp; CHAR(10) &amp; "• " &amp; 'الجدول'!F15 &amp; CHAR(10) &amp; "• " &amp; 'الجدول'!F16 &amp; CHAR(10) &amp; "• " &amp; 'الجدول'!F17 &amp; CHAR(10) &amp; "• " &amp; 'الجدول'!F18 &amp; CHAR(10) &amp; "• " &amp; 'الجدول'!F19 &amp; CHAR(10) &amp; "• " &amp; 'الجدول'!F20 &amp; CHAR(10) &amp; CHAR(10) &amp; "■■ " &amp; 'الجدول'!G1 &amp; " ■■" &amp; CHAR(10) &amp; "• " &amp; 'الجدول'!G13 &amp; CHAR(10) &amp; "• " &amp; 'الجدول'!G14 &amp; CHAR(10) &amp; "• " &amp; 'الجدول'!G15 &amp; CHAR(10) &amp; "• " &amp; 'الجدول'!G16 &amp; CHAR(10) &amp; "• " &amp; 'الجدول'!G17 &amp; CHAR(10) &amp; "• " &amp; 'الجدول'!G18 &amp; CHAR(10) &amp; "• " &amp; 'الجدول'!G19 &amp; CHAR(10) &amp; "• " &amp; 'الجدول'!G20 &amp; CHAR(10) &amp; CHAR(10) &amp; "■■ " &amp; 'الجدول'!H1 &amp; " ■■" &amp; CHAR(10) &amp; "• " &amp; 'الجدول'!H13 &amp; CHAR(10) &amp; "• " &amp; 'الجدول'!H14 &amp; CHAR(10) &amp; "• " &amp; 'الجدول'!H15 &amp; CHAR(10) &amp; "• " &amp; 'الجدول'!H16 &amp; CHAR(10) &amp; "• " &amp; 'الجدول'!H17 &amp; CHAR(10) &amp; "• " &amp; 'الجدول'!H18 &amp; CHAR(10) &amp; "• " &amp; 'الجدول'!H19 &amp; CHAR(10) &amp; "• " &amp; 'الجدول'!H20 &amp; CHAR(10) &amp; CHAR(10) &amp; "■■ " &amp; 'الجدول'!I1 &amp; " ■■" &amp; CHAR(10) &amp; "• " &amp; 'الجدول'!I13 &amp; CHAR(10) &amp; "• " &amp; 'الجدول'!I14 &amp; CHAR(10) &amp; "• " &amp; 'الجدول'!I15 &amp; CHAR(10) &amp; "• " &amp; 'الجدول'!I16 &amp; CHAR(10) &amp; "• " &amp; 'الجدول'!I17 &amp; CHAR(10) &amp; "• " &amp; 'الجدول'!I18 &amp; CHAR(10) &amp; "• " &amp; 'الجدول'!I19 &amp; CHAR(10) &amp; "• " &amp; 'الجدول'!I20 &amp; CHAR(10) &amp; CHAR(10) &amp; "■■ " &amp; 'الجدول'!J1 &amp; " ■■" &amp; CHAR(10) &amp; "• " &amp; 'الجدول'!J13 &amp; CHAR(10) &amp; "• " &amp; 'الجدول'!J14 &amp; CHAR(10) &amp; "• " &amp; 'الجدول'!J15 &amp; CHAR(10) &amp; "• " &amp; 'الجدول'!J16 &amp; CHAR(10) &amp; "• " &amp; 'الجدول'!J17 &amp; CHAR(10) &amp; "• " &amp; 'الجدول'!J18 &amp; CHAR(10) &amp; "• " &amp; 'الجدول'!J19 &amp; CHAR(10) &amp; "• " &amp; 'الجدول'!J20 &amp; CHAR(10) &amp; CHAR(10) &amp; "■■ " &amp; 'الجدول'!K1 &amp; " ■■" &amp; CHAR(10) &amp; "• " &amp; 'الجدول'!K13 &amp; CHAR(10) &amp; "• " &amp; 'الجدول'!K14 &amp; CHAR(10) &amp; "• " &amp; 'الجدول'!K15 &amp; CHAR(10) &amp; "• " &amp; 'الجدول'!K16 &amp; CHAR(10) &amp; "• " &amp; 'الجدول'!K17 &amp; CHAR(10) &amp; "• " &amp; 'الجدول'!K18 &amp; CHAR(10) &amp; "• " &amp; 'الجدول'!K19 &amp; CHAR(10) &amp; "• " &amp; 'الجدول'!K20 &amp; CHAR(10) &amp; CHAR(10) &amp; "■■ " &amp; 'الجدول'!L1 &amp; " ■■" &amp; CHAR(10) &amp; "• " &amp; 'الجدول'!L13 &amp; CHAR(10) &amp; "• " &amp; 'الجدول'!L14 &amp; CHAR(10) &amp; "• " &amp; 'الجدول'!L15 &amp; CHAR(10) &amp; "• " &amp; 'الجدول'!L16 &amp; CHAR(10) &amp; "• " &amp; 'الجدول'!L17 &amp; CHAR(10) &amp; "• " &amp; 'الجدول'!L18 &amp; CHAR(10) &amp; "• " &amp; 'الجدول'!L19 &amp; CHAR(10) &amp; "• " &amp; 'الجدول'!L20 &amp; CHAR(10) &amp; CHAR(10) &amp; "■■ " &amp; 'الجدول'!M1 &amp; " ■■" &amp; CHAR(10) &amp; "• " &amp; 'الجدول'!M13 &amp; CHAR(10) &amp; "• " &amp; 'الجدول'!M14 &amp; CHAR(10) &amp; "• " &amp; 'الجدول'!M15 &amp; CHAR(10) &amp; "• " &amp; 'الجدول'!M16 &amp; CHAR(10) &amp; "• " &amp; 'الجدول'!M17 &amp; CHAR(10) &amp; "• " &amp; 'الجدول'!M18 &amp; CHAR(10) &amp; "• " &amp; 'الجدول'!M19 &amp; CHAR(10) &amp; "• " &amp; 'الجدول'!M20 &amp; CHAR(10) &amp; CHAR(10) &amp; "■■ " &amp; 'الجدول'!N1 &amp; " ■■" &amp; CHAR(10) &amp; "• " &amp; 'الجدول'!N13 &amp; CHAR(10) &amp; "• " &amp; 'الجدول'!N14 &amp; CHAR(10) &amp; "• " &amp; 'الجدول'!N15 &amp; CHAR(10) &amp; "• " &amp; 'الجدول'!N16 &amp; CHAR(10) &amp; "• " &amp; 'الجدول'!N17 &amp; CHAR(10) &amp; "• " &amp; 'الجدول'!N18 &amp; CHAR(10) &amp; "• " &amp; 'الجدول'!N19 &amp; CHAR(10) &amp; "• " &amp; 'الجدول'!N20 &amp; CHAR(10) &amp; CHAR(10) &amp; "■■ " &amp; 'الجدول'!O1 &amp; " ■■" &amp; CHAR(10) &amp; "• " &amp; 'الجدول'!O13 &amp; CHAR(10) &amp; "• " &amp; 'الجدول'!O14 &amp; CHAR(10) &amp; "• " &amp; 'الجدول'!O15 &amp; CHAR(10) &amp; "• " &amp; 'الجدول'!O16 &amp; CHAR(10) &amp; "• " &amp; 'الجدول'!O17 &amp; CHAR(10) &amp; "• " &amp; 'الجدول'!O18 &amp; CHAR(10) &amp; "• " &amp; 'الجدول'!O19 &amp; CHAR(10) &amp; "• " &amp; 'الجدول'!O20 &amp; CHAR(10) &amp; CHAR(10) &amp; "■■ " &amp; 'الجدول'!P1 &amp; " ■■" &amp; CHAR(10) &amp; "• " &amp; 'الجدول'!P13 &amp; CHAR(10) &amp; "• " &amp; 'الجدول'!P14 &amp; CHAR(10) &amp; "• " &amp; 'الجدول'!P15 &amp; CHAR(10) &amp; "• " &amp; 'الجدول'!P16 &amp; CHAR(10) &amp; "• " &amp; 'الجدول'!P17 &amp; CHAR(10) &amp; "• " &amp; 'الجدول'!P18 &amp; CHAR(10) &amp; "• " &amp; 'الجدول'!P19 &amp; CHAR(10) &amp; "• " &amp; 'الجدول'!P20 &amp; CHAR(10) &amp; CHAR(10) &amp; "■■ " &amp; 'الجدول'!Q1 &amp; " ■■" &amp; CHAR(10) &amp; "• " &amp; 'الجدول'!Q13 &amp; CHAR(10) &amp; "• " &amp; 'الجدول'!Q14 &amp; CHAR(10) &amp; "• " &amp; 'الجدول'!Q15 &amp; CHAR(10) &amp; "• " &amp; 'الجدول'!Q16 &amp; CHAR(10) &amp; "• " &amp; 'الجدول'!Q17 &amp; CHAR(10) &amp; "• " &amp; 'الجدول'!Q18 &amp; CHAR(10) &amp; "• " &amp; 'الجدول'!Q19 &amp; CHAR(10) &amp; "• " &amp; 'الجدول'!Q20 &amp; CHAR(10) &amp; CHAR(10) &amp; "■■ " &amp; 'الجدول'!R1 &amp; " ■■" &amp; CHAR(10) &amp; "• " &amp; 'الجدول'!R13 &amp; CHAR(10) &amp; "• " &amp; 'الجدول'!R14 &amp; CHAR(10) &amp; "• " &amp; 'الجدول'!R15 &amp; CHAR(10) &amp; "• " &amp; 'الجدول'!R16 &amp; CHAR(10) &amp; "• " &amp; 'الجدول'!R17 &amp; CHAR(10) &amp; "• " &amp; 'الجدول'!R18 &amp; CHAR(10) &amp; "• " &amp; 'الجدول'!R19 &amp; CHAR(10) &amp; "• " &amp; 'الجدول'!R20 &amp; CHAR(10) &amp; CHAR(10) &amp; "■■ " &amp; 'الجدول'!S1 &amp; " ■■" &amp; CHAR(10) &amp; "• " &amp; 'الجدول'!S13 &amp; CHAR(10) &amp; "• " &amp; 'الجدول'!S14 &amp; CHAR(10) &amp; "• " &amp; 'الجدول'!S15 &amp; CHAR(10) &amp; "• " &amp; 'الجدول'!S16 &amp; CHAR(10) &amp; "• " &amp; 'الجدول'!S17 &amp; CHAR(10) &amp; "• " &amp; 'الجدول'!S18 &amp; CHAR(10) &amp; "• " &amp; 'الجدول'!S19 &amp; CHAR(10) &amp; "• " &amp; 'الجدول'!S20 &amp; CHAR(10) &amp; CHAR(10) &amp; "■■ " &amp; 'الجدول'!T1 &amp; " ■■" &amp; CHAR(10) &amp; "• " &amp; 'الجدول'!T13 &amp; CHAR(10) &amp; "• " &amp; 'الجدول'!T14 &amp; CHAR(10) &amp; "• " &amp; 'الجدول'!T15 &amp; CHAR(10) &amp; "• " &amp; 'الجدول'!T16 &amp; CHAR(10) &amp; "• " &amp; 'الجدول'!T17 &amp; CHAR(10) &amp; "• " &amp; 'الجدول'!T18 &amp; CHAR(10) &amp; "• " &amp; 'الجدول'!T19 &amp; CHAR(10) &amp; "• " &amp; 'الجدول'!T20 &amp; CHAR(10) &amp; CHAR(10) &amp; "■■ " &amp; 'الجدول'!U1 &amp; " ■■" &amp; CHAR(10) &amp; "• " &amp; 'الجدول'!U13 &amp; CHAR(10) &amp; "• " &amp; 'الجدول'!U14 &amp; CHAR(10) &amp; "• " &amp; 'الجدول'!U15 &amp; CHAR(10) &amp; "• " &amp; 'الجدول'!U16 &amp; CHAR(10) &amp; "• " &amp; 'الجدول'!U17 &amp; CHAR(10) &amp; "• " &amp; 'الجدول'!U18 &amp; CHAR(10) &amp; "• " &amp; 'الجدول'!U19 &amp; CHAR(10) &amp; "• " &amp; 'الجدول'!U20 &amp; CHAR(10) &amp; CHAR(10)</f>
        <v>■■ A) DAY CLINIC THEN OPERATIONS ■■
• نورهان ياسر عبدالمعز
(01063257329)
• ----------
• ----------
• ----------
• ----------
• ----------
• ----------
• ----------
■■ A) NIGHT OPERATIONS ■■
• حازم كرم كرم
(01118280669)
• ----------
• ----------
• ----------
• ----------
• ----------
• ----------
• ----------
■■ B) DAY SENIOR GENERAL ■■
• عائشة عمرو قرشي
(01002171719)
• ----------
• ----------
• ----------
• ----------
• ----------
• ----------
• ----------
■■ B) NIGHT SENIOR GENERAL ■■
• Beshoy Botros
(01274308491)
• ----------
• ----------
• ----------
• ----------
• ----------
• ----------
• ----------
■■ C) DAY ADMISSION ■■
• خالد شريف البجيرمي
(01062857469)
• ----------
• ----------
• ----------
• ----------
• ----------
• ----------
• ----------
■■ C) NIGHT ADMISSION ■■
• عمر محمد عبد الفتاح
(01102262698)
• ----------
• ----------
• ----------
• ----------
• ----------
• ----------
• ----------
■■ D) DAY GENERAL ■■
• هبة جمال محمد محمد
(01027181761)
• سلوى نبيل متولي
(01116383438)
• Mohamed lotfy
(01064810610)
• فاطِمة حلمي صالح
(01023893860)
• سامي ابراهيم علي
(01114713755)
• Mahinour Ashraf Soud
(01068470463)
• ياسمين زهدي السيد
(01098924963)
• شاهيناز عبدالعزيز محمد
(01062940492)
■■ D) NIGHT GENERAL ■■
• ميار مسعد توفيق
(01153028000)
• كمال فضل محمد
(01102343017)
• عمر سراج الدين فتحي
(01142862330)
• يمنى جمال فتحي
(01040454689)
• العوضي أسامة العوضي جراوش
(01144402429)
• عمر محمد أحمد
(01208321212)
• حسام سالم الداعور
(01123835996)
• Raghad Elhamy
(01116764208)
■■ E) DAY SENIOR PT ■■
• ReHab Nasser Khamis
(01159448250)
• ----------
• ----------
• ----------
• ----------
• ----------
• ----------
• ----------
■■ E) NIGHT SENIOR PT ■■
• يوسف احمد يحيى
(01030652702)
• ----------
• ----------
• ----------
• ----------
• ----------
• ----------
• ----------
■■ F) DAY PT ■■
• أحمد محمد فتحي
(01151513326)
• مريم علاء محمود
(01001770021)
• عمر وليد محمد
(01062000026)
• جهاد محمد السيد
(01011294223)
• رضوى صلاح
(01002301809)
• رحاب يحيي احمد
(01150081936)
• فؤاد أحمد عبدالمنعم
(01091535003)
• ----------
■■ F) NIGHT PT ■■
• تمارا خالد جمال الدين
(01096688868)
• منة الله فؤاد القماح
(1013662223)
• Mona araby sayed
(01102616595)
• احمد رزق
(٠١٠٠٢٣٣٥٤٨٦)
• مروان عبد المقصود نصر
(01272940086)
• ابراهيم احمد السيد
(01158350951)
• مصطفى رمضان مصطفى
(01274212921)
• ----------
■■ G) DAY WARD ■■
• أحمد شعبان أحمد
(01093392523)
• محمد السيد سعد
(01110135622)
• هبه محمد نجيب
(01507093786)
• محمد علي جادالرب
(01553129877)
• ----------
• ----------
• ----------
• ----------
■■ G) NIGHT WARD ■■
• محمد عبد اللاه السيد حامد
(01559004738)
• حازم خالد حسن
(01005673996)
• أحمد محمد أحمد
(01112122129)
• عبدالرحمن عصام حلمى
(01028229796)
• ----------
• ----------
• ----------
• ----------
■■ Shift ward 1-8pm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ليستة ■■
• ----------
• ----------
• ----------
• ----------
• ----------
• ----------
• ----------
• ----------
</v>
      </c>
      <c r="C5" s="3" t="str">
        <f>HYPERLINK("#الجدول!A" &amp; 12, "الجدول الأساسي")</f>
        <v>الجدول الأساسي</v>
      </c>
    </row>
    <row r="6">
      <c r="A6" s="1" t="s">
        <v>76</v>
      </c>
      <c r="B6" s="5" t="str">
        <f>"" &amp; "■■ " &amp; 'الجدول'!B1 &amp; " ■■" &amp; CHAR(10) &amp; "• " &amp; 'الجدول'!B21 &amp; CHAR(10) &amp; "• " &amp; 'الجدول'!B22 &amp; CHAR(10) &amp; "• " &amp; 'الجدول'!B23 &amp; CHAR(10) &amp; "• " &amp; 'الجدول'!B24 &amp; CHAR(10) &amp; "• " &amp; 'الجدول'!B25 &amp; CHAR(10) &amp; "• " &amp; 'الجدول'!B26 &amp; CHAR(10) &amp; "• " &amp; 'الجدول'!B27 &amp; CHAR(10) &amp; CHAR(10) &amp; "■■ " &amp; 'الجدول'!C1 &amp; " ■■" &amp; CHAR(10) &amp; "• " &amp; 'الجدول'!C21 &amp; CHAR(10) &amp; "• " &amp; 'الجدول'!C22 &amp; CHAR(10) &amp; "• " &amp; 'الجدول'!C23 &amp; CHAR(10) &amp; "• " &amp; 'الجدول'!C24 &amp; CHAR(10) &amp; "• " &amp; 'الجدول'!C25 &amp; CHAR(10) &amp; "• " &amp; 'الجدول'!C26 &amp; CHAR(10) &amp; "• " &amp; 'الجدول'!C27 &amp; CHAR(10) &amp; CHAR(10) &amp; "■■ " &amp; 'الجدول'!D1 &amp; " ■■" &amp; CHAR(10) &amp; "• " &amp; 'الجدول'!D21 &amp; CHAR(10) &amp; "• " &amp; 'الجدول'!D22 &amp; CHAR(10) &amp; "• " &amp; 'الجدول'!D23 &amp; CHAR(10) &amp; "• " &amp; 'الجدول'!D24 &amp; CHAR(10) &amp; "• " &amp; 'الجدول'!D25 &amp; CHAR(10) &amp; "• " &amp; 'الجدول'!D26 &amp; CHAR(10) &amp; "• " &amp; 'الجدول'!D27 &amp; CHAR(10) &amp; CHAR(10) &amp; "■■ " &amp; 'الجدول'!E1 &amp; " ■■" &amp; CHAR(10) &amp; "• " &amp; 'الجدول'!E21 &amp; CHAR(10) &amp; "• " &amp; 'الجدول'!E22 &amp; CHAR(10) &amp; "• " &amp; 'الجدول'!E23 &amp; CHAR(10) &amp; "• " &amp; 'الجدول'!E24 &amp; CHAR(10) &amp; "• " &amp; 'الجدول'!E25 &amp; CHAR(10) &amp; "• " &amp; 'الجدول'!E26 &amp; CHAR(10) &amp; "• " &amp; 'الجدول'!E27 &amp; CHAR(10) &amp; CHAR(10) &amp; "■■ " &amp; 'الجدول'!F1 &amp; " ■■" &amp; CHAR(10) &amp; "• " &amp; 'الجدول'!F21 &amp; CHAR(10) &amp; "• " &amp; 'الجدول'!F22 &amp; CHAR(10) &amp; "• " &amp; 'الجدول'!F23 &amp; CHAR(10) &amp; "• " &amp; 'الجدول'!F24 &amp; CHAR(10) &amp; "• " &amp; 'الجدول'!F25 &amp; CHAR(10) &amp; "• " &amp; 'الجدول'!F26 &amp; CHAR(10) &amp; "• " &amp; 'الجدول'!F27 &amp; CHAR(10) &amp; CHAR(10) &amp; "■■ " &amp; 'الجدول'!G1 &amp; " ■■" &amp; CHAR(10) &amp; "• " &amp; 'الجدول'!G21 &amp; CHAR(10) &amp; "• " &amp; 'الجدول'!G22 &amp; CHAR(10) &amp; "• " &amp; 'الجدول'!G23 &amp; CHAR(10) &amp; "• " &amp; 'الجدول'!G24 &amp; CHAR(10) &amp; "• " &amp; 'الجدول'!G25 &amp; CHAR(10) &amp; "• " &amp; 'الجدول'!G26 &amp; CHAR(10) &amp; "• " &amp; 'الجدول'!G27 &amp; CHAR(10) &amp; CHAR(10) &amp; "■■ " &amp; 'الجدول'!H1 &amp; " ■■" &amp; CHAR(10) &amp; "• " &amp; 'الجدول'!H21 &amp; CHAR(10) &amp; "• " &amp; 'الجدول'!H22 &amp; CHAR(10) &amp; "• " &amp; 'الجدول'!H23 &amp; CHAR(10) &amp; "• " &amp; 'الجدول'!H24 &amp; CHAR(10) &amp; "• " &amp; 'الجدول'!H25 &amp; CHAR(10) &amp; "• " &amp; 'الجدول'!H26 &amp; CHAR(10) &amp; "• " &amp; 'الجدول'!H27 &amp; CHAR(10) &amp; CHAR(10) &amp; "■■ " &amp; 'الجدول'!I1 &amp; " ■■" &amp; CHAR(10) &amp; "• " &amp; 'الجدول'!I21 &amp; CHAR(10) &amp; "• " &amp; 'الجدول'!I22 &amp; CHAR(10) &amp; "• " &amp; 'الجدول'!I23 &amp; CHAR(10) &amp; "• " &amp; 'الجدول'!I24 &amp; CHAR(10) &amp; "• " &amp; 'الجدول'!I25 &amp; CHAR(10) &amp; "• " &amp; 'الجدول'!I26 &amp; CHAR(10) &amp; "• " &amp; 'الجدول'!I27 &amp; CHAR(10) &amp; CHAR(10) &amp; "■■ " &amp; 'الجدول'!J1 &amp; " ■■" &amp; CHAR(10) &amp; "• " &amp; 'الجدول'!J21 &amp; CHAR(10) &amp; "• " &amp; 'الجدول'!J22 &amp; CHAR(10) &amp; "• " &amp; 'الجدول'!J23 &amp; CHAR(10) &amp; "• " &amp; 'الجدول'!J24 &amp; CHAR(10) &amp; "• " &amp; 'الجدول'!J25 &amp; CHAR(10) &amp; "• " &amp; 'الجدول'!J26 &amp; CHAR(10) &amp; "• " &amp; 'الجدول'!J27 &amp; CHAR(10) &amp; CHAR(10) &amp; "■■ " &amp; 'الجدول'!K1 &amp; " ■■" &amp; CHAR(10) &amp; "• " &amp; 'الجدول'!K21 &amp; CHAR(10) &amp; "• " &amp; 'الجدول'!K22 &amp; CHAR(10) &amp; "• " &amp; 'الجدول'!K23 &amp; CHAR(10) &amp; "• " &amp; 'الجدول'!K24 &amp; CHAR(10) &amp; "• " &amp; 'الجدول'!K25 &amp; CHAR(10) &amp; "• " &amp; 'الجدول'!K26 &amp; CHAR(10) &amp; "• " &amp; 'الجدول'!K27 &amp; CHAR(10) &amp; CHAR(10) &amp; "■■ " &amp; 'الجدول'!L1 &amp; " ■■" &amp; CHAR(10) &amp; "• " &amp; 'الجدول'!L21 &amp; CHAR(10) &amp; "• " &amp; 'الجدول'!L22 &amp; CHAR(10) &amp; "• " &amp; 'الجدول'!L23 &amp; CHAR(10) &amp; "• " &amp; 'الجدول'!L24 &amp; CHAR(10) &amp; "• " &amp; 'الجدول'!L25 &amp; CHAR(10) &amp; "• " &amp; 'الجدول'!L26 &amp; CHAR(10) &amp; "• " &amp; 'الجدول'!L27 &amp; CHAR(10) &amp; CHAR(10) &amp; "■■ " &amp; 'الجدول'!M1 &amp; " ■■" &amp; CHAR(10) &amp; "• " &amp; 'الجدول'!M21 &amp; CHAR(10) &amp; "• " &amp; 'الجدول'!M22 &amp; CHAR(10) &amp; "• " &amp; 'الجدول'!M23 &amp; CHAR(10) &amp; "• " &amp; 'الجدول'!M24 &amp; CHAR(10) &amp; "• " &amp; 'الجدول'!M25 &amp; CHAR(10) &amp; "• " &amp; 'الجدول'!M26 &amp; CHAR(10) &amp; "• " &amp; 'الجدول'!M27 &amp; CHAR(10) &amp; CHAR(10) &amp; "■■ " &amp; 'الجدول'!N1 &amp; " ■■" &amp; CHAR(10) &amp; "• " &amp; 'الجدول'!N21 &amp; CHAR(10) &amp; "• " &amp; 'الجدول'!N22 &amp; CHAR(10) &amp; "• " &amp; 'الجدول'!N23 &amp; CHAR(10) &amp; "• " &amp; 'الجدول'!N24 &amp; CHAR(10) &amp; "• " &amp; 'الجدول'!N25 &amp; CHAR(10) &amp; "• " &amp; 'الجدول'!N26 &amp; CHAR(10) &amp; "• " &amp; 'الجدول'!N27 &amp; CHAR(10) &amp; CHAR(10) &amp; "■■ " &amp; 'الجدول'!O1 &amp; " ■■" &amp; CHAR(10) &amp; "• " &amp; 'الجدول'!O21 &amp; CHAR(10) &amp; "• " &amp; 'الجدول'!O22 &amp; CHAR(10) &amp; "• " &amp; 'الجدول'!O23 &amp; CHAR(10) &amp; "• " &amp; 'الجدول'!O24 &amp; CHAR(10) &amp; "• " &amp; 'الجدول'!O25 &amp; CHAR(10) &amp; "• " &amp; 'الجدول'!O26 &amp; CHAR(10) &amp; "• " &amp; 'الجدول'!O27 &amp; CHAR(10) &amp; CHAR(10) &amp; "■■ " &amp; 'الجدول'!P1 &amp; " ■■" &amp; CHAR(10) &amp; "• " &amp; 'الجدول'!P21 &amp; CHAR(10) &amp; "• " &amp; 'الجدول'!P22 &amp; CHAR(10) &amp; "• " &amp; 'الجدول'!P23 &amp; CHAR(10) &amp; "• " &amp; 'الجدول'!P24 &amp; CHAR(10) &amp; "• " &amp; 'الجدول'!P25 &amp; CHAR(10) &amp; "• " &amp; 'الجدول'!P26 &amp; CHAR(10) &amp; "• " &amp; 'الجدول'!P27 &amp; CHAR(10) &amp; CHAR(10) &amp; "■■ " &amp; 'الجدول'!Q1 &amp; " ■■" &amp; CHAR(10) &amp; "• " &amp; 'الجدول'!Q21 &amp; CHAR(10) &amp; "• " &amp; 'الجدول'!Q22 &amp; CHAR(10) &amp; "• " &amp; 'الجدول'!Q23 &amp; CHAR(10) &amp; "• " &amp; 'الجدول'!Q24 &amp; CHAR(10) &amp; "• " &amp; 'الجدول'!Q25 &amp; CHAR(10) &amp; "• " &amp; 'الجدول'!Q26 &amp; CHAR(10) &amp; "• " &amp; 'الجدول'!Q27 &amp; CHAR(10) &amp; CHAR(10) &amp; "■■ " &amp; 'الجدول'!R1 &amp; " ■■" &amp; CHAR(10) &amp; "• " &amp; 'الجدول'!R21 &amp; CHAR(10) &amp; "• " &amp; 'الجدول'!R22 &amp; CHAR(10) &amp; "• " &amp; 'الجدول'!R23 &amp; CHAR(10) &amp; "• " &amp; 'الجدول'!R24 &amp; CHAR(10) &amp; "• " &amp; 'الجدول'!R25 &amp; CHAR(10) &amp; "• " &amp; 'الجدول'!R26 &amp; CHAR(10) &amp; "• " &amp; 'الجدول'!R27 &amp; CHAR(10) &amp; CHAR(10) &amp; "■■ " &amp; 'الجدول'!S1 &amp; " ■■" &amp; CHAR(10) &amp; "• " &amp; 'الجدول'!S21 &amp; CHAR(10) &amp; "• " &amp; 'الجدول'!S22 &amp; CHAR(10) &amp; "• " &amp; 'الجدول'!S23 &amp; CHAR(10) &amp; "• " &amp; 'الجدول'!S24 &amp; CHAR(10) &amp; "• " &amp; 'الجدول'!S25 &amp; CHAR(10) &amp; "• " &amp; 'الجدول'!S26 &amp; CHAR(10) &amp; "• " &amp; 'الجدول'!S27 &amp; CHAR(10) &amp; CHAR(10) &amp; "■■ " &amp; 'الجدول'!T1 &amp; " ■■" &amp; CHAR(10) &amp; "• " &amp; 'الجدول'!T21 &amp; CHAR(10) &amp; "• " &amp; 'الجدول'!T22 &amp; CHAR(10) &amp; "• " &amp; 'الجدول'!T23 &amp; CHAR(10) &amp; "• " &amp; 'الجدول'!T24 &amp; CHAR(10) &amp; "• " &amp; 'الجدول'!T25 &amp; CHAR(10) &amp; "• " &amp; 'الجدول'!T26 &amp; CHAR(10) &amp; "• " &amp; 'الجدول'!T27 &amp; CHAR(10) &amp; CHAR(10) &amp; "■■ " &amp; 'الجدول'!U1 &amp; " ■■" &amp; CHAR(10) &amp; "• " &amp; 'الجدول'!U21 &amp; CHAR(10) &amp; "• " &amp; 'الجدول'!U22 &amp; CHAR(10) &amp; "• " &amp; 'الجدول'!U23 &amp; CHAR(10) &amp; "• " &amp; 'الجدول'!U24 &amp; CHAR(10) &amp; "• " &amp; 'الجدول'!U25 &amp; CHAR(10) &amp; "• " &amp; 'الجدول'!U26 &amp; CHAR(10) &amp; "• " &amp; 'الجدول'!U27 &amp; CHAR(10) &amp; CHAR(10)</f>
        <v>■■ A) DAY CLINIC THEN OPERATIONS ■■
• ----------
• ----------
• ----------
• ----------
• ----------
• ----------
• ----------
■■ A) NIGHT OPERATIONS ■■
• ----------
• ----------
• ----------
• ----------
• ----------
• ----------
• ----------
■■ B) DAY SENIOR GENERAL ■■
• ----------
• ----------
• ----------
• ----------
• ----------
• ----------
• ----------
■■ B) NIGHT SENIOR GENERAL ■■
• ----------
• ----------
• ----------
• ----------
• ----------
• ----------
• ----------
■■ C) DAY ADMISSION ■■
• ----------
• ----------
• ----------
• ----------
• ----------
• ----------
• ----------
■■ C) NIGHT ADMISSION ■■
• ----------
• ----------
• ----------
• ----------
• ----------
• ----------
• ----------
■■ D) DAY GENERAL ■■
• ----------
• ----------
• ----------
• ----------
• ----------
• ----------
• ----------
■■ D) NIGHT GENERAL ■■
• ----------
• ----------
• ----------
• ----------
• ----------
• ----------
• ----------
■■ E) DAY SENIOR PT ■■
• ----------
• ----------
• ----------
• ----------
• ----------
• ----------
• ----------
■■ E) NIGHT SENIOR PT ■■
• ----------
• ----------
• ----------
• ----------
• ----------
• ----------
• ----------
■■ F) DAY PT ■■
• ----------
• ----------
• ----------
• ----------
• ----------
• ----------
• ----------
■■ F) NIGHT PT ■■
• ----------
• ----------
• ----------
• ----------
• ----------
• ----------
• ----------
■■ G) DAY WARD ■■
• ----------
• ----------
• ----------
• ----------
• ----------
• ----------
• ----------
■■ G) NIGHT WARD ■■
• ----------
• ----------
• ----------
• ----------
• ----------
• ----------
• ----------
■■ Shift ward 1-8pm ■■
• ----------
• ----------
• ----------
• ----------
• ----------
• ----------
• ----------
■■ شيفت صباحى ■■
• ياسمين زهدي السيد
(01098924963)
• سامي ابراهيم علي
(01114713755)
• هبة جمال محمد محمد
(01027181761)
• حنين احمد  علي
(01092469321)
• فاطِمة حلمي صالح
(01023893860)
• ReHab Nasser Khamis
(01159448250)
• يوسف احمد يحيى
(01030652702)
■■ شيفت صباحى ■■
• ----------
• ----------
• ----------
• ----------
• ----------
• ----------
• ----------
■■ شيفت مسائى ■■
• محمود سليم عاشور
(01107286243)
• سلوى نبيل متولي
(01116383438)
• احمد رزق
(٠١٠٠٢٣٣٥٤٨٦)
• أحمد شعبان أحمد
(01093392523)
• ----------
• ----------
• ----------
■■ شيفت مسائى ■■
• ----------
• ----------
• ----------
• ----------
• ----------
• ----------
• ----------
■■ ليستة ■■
• ----------
• ----------
• ----------
• ----------
• ----------
• ----------
• ----------
</v>
      </c>
      <c r="C6" s="3" t="str">
        <f>HYPERLINK("#الجدول!A" &amp; 20, "الجدول الأساسي")</f>
        <v>الجدول الأساسي</v>
      </c>
    </row>
    <row r="7">
      <c r="A7" s="1" t="s">
        <v>79</v>
      </c>
      <c r="B7" s="5" t="str">
        <f>"" &amp; "■■ " &amp; 'الجدول'!B1 &amp; " ■■" &amp; CHAR(10) &amp; "• " &amp; 'الجدول'!B28 &amp; CHAR(10) &amp; "• " &amp; 'الجدول'!B29 &amp; CHAR(10) &amp; "• " &amp; 'الجدول'!B30 &amp; CHAR(10) &amp; "• " &amp; 'الجدول'!B31 &amp; CHAR(10) &amp; CHAR(10) &amp; "■■ " &amp; 'الجدول'!C1 &amp; " ■■" &amp; CHAR(10) &amp; "• " &amp; 'الجدول'!C28 &amp; CHAR(10) &amp; "• " &amp; 'الجدول'!C29 &amp; CHAR(10) &amp; "• " &amp; 'الجدول'!C30 &amp; CHAR(10) &amp; "• " &amp; 'الجدول'!C31 &amp; CHAR(10) &amp; CHAR(10) &amp; "■■ " &amp; 'الجدول'!D1 &amp; " ■■" &amp; CHAR(10) &amp; "• " &amp; 'الجدول'!D28 &amp; CHAR(10) &amp; "• " &amp; 'الجدول'!D29 &amp; CHAR(10) &amp; "• " &amp; 'الجدول'!D30 &amp; CHAR(10) &amp; "• " &amp; 'الجدول'!D31 &amp; CHAR(10) &amp; CHAR(10) &amp; "■■ " &amp; 'الجدول'!E1 &amp; " ■■" &amp; CHAR(10) &amp; "• " &amp; 'الجدول'!E28 &amp; CHAR(10) &amp; "• " &amp; 'الجدول'!E29 &amp; CHAR(10) &amp; "• " &amp; 'الجدول'!E30 &amp; CHAR(10) &amp; "• " &amp; 'الجدول'!E31 &amp; CHAR(10) &amp; CHAR(10) &amp; "■■ " &amp; 'الجدول'!F1 &amp; " ■■" &amp; CHAR(10) &amp; "• " &amp; 'الجدول'!F28 &amp; CHAR(10) &amp; "• " &amp; 'الجدول'!F29 &amp; CHAR(10) &amp; "• " &amp; 'الجدول'!F30 &amp; CHAR(10) &amp; "• " &amp; 'الجدول'!F31 &amp; CHAR(10) &amp; CHAR(10) &amp; "■■ " &amp; 'الجدول'!G1 &amp; " ■■" &amp; CHAR(10) &amp; "• " &amp; 'الجدول'!G28 &amp; CHAR(10) &amp; "• " &amp; 'الجدول'!G29 &amp; CHAR(10) &amp; "• " &amp; 'الجدول'!G30 &amp; CHAR(10) &amp; "• " &amp; 'الجدول'!G31 &amp; CHAR(10) &amp; CHAR(10) &amp; "■■ " &amp; 'الجدول'!H1 &amp; " ■■" &amp; CHAR(10) &amp; "• " &amp; 'الجدول'!H28 &amp; CHAR(10) &amp; "• " &amp; 'الجدول'!H29 &amp; CHAR(10) &amp; "• " &amp; 'الجدول'!H30 &amp; CHAR(10) &amp; "• " &amp; 'الجدول'!H31 &amp; CHAR(10) &amp; CHAR(10) &amp; "■■ " &amp; 'الجدول'!I1 &amp; " ■■" &amp; CHAR(10) &amp; "• " &amp; 'الجدول'!I28 &amp; CHAR(10) &amp; "• " &amp; 'الجدول'!I29 &amp; CHAR(10) &amp; "• " &amp; 'الجدول'!I30 &amp; CHAR(10) &amp; "• " &amp; 'الجدول'!I31 &amp; CHAR(10) &amp; CHAR(10) &amp; "■■ " &amp; 'الجدول'!J1 &amp; " ■■" &amp; CHAR(10) &amp; "• " &amp; 'الجدول'!J28 &amp; CHAR(10) &amp; "• " &amp; 'الجدول'!J29 &amp; CHAR(10) &amp; "• " &amp; 'الجدول'!J30 &amp; CHAR(10) &amp; "• " &amp; 'الجدول'!J31 &amp; CHAR(10) &amp; CHAR(10) &amp; "■■ " &amp; 'الجدول'!K1 &amp; " ■■" &amp; CHAR(10) &amp; "• " &amp; 'الجدول'!K28 &amp; CHAR(10) &amp; "• " &amp; 'الجدول'!K29 &amp; CHAR(10) &amp; "• " &amp; 'الجدول'!K30 &amp; CHAR(10) &amp; "• " &amp; 'الجدول'!K31 &amp; CHAR(10) &amp; CHAR(10) &amp; "■■ " &amp; 'الجدول'!L1 &amp; " ■■" &amp; CHAR(10) &amp; "• " &amp; 'الجدول'!L28 &amp; CHAR(10) &amp; "• " &amp; 'الجدول'!L29 &amp; CHAR(10) &amp; "• " &amp; 'الجدول'!L30 &amp; CHAR(10) &amp; "• " &amp; 'الجدول'!L31 &amp; CHAR(10) &amp; CHAR(10) &amp; "■■ " &amp; 'الجدول'!M1 &amp; " ■■" &amp; CHAR(10) &amp; "• " &amp; 'الجدول'!M28 &amp; CHAR(10) &amp; "• " &amp; 'الجدول'!M29 &amp; CHAR(10) &amp; "• " &amp; 'الجدول'!M30 &amp; CHAR(10) &amp; "• " &amp; 'الجدول'!M31 &amp; CHAR(10) &amp; CHAR(10) &amp; "■■ " &amp; 'الجدول'!N1 &amp; " ■■" &amp; CHAR(10) &amp; "• " &amp; 'الجدول'!N28 &amp; CHAR(10) &amp; "• " &amp; 'الجدول'!N29 &amp; CHAR(10) &amp; "• " &amp; 'الجدول'!N30 &amp; CHAR(10) &amp; "• " &amp; 'الجدول'!N31 &amp; CHAR(10) &amp; CHAR(10) &amp; "■■ " &amp; 'الجدول'!O1 &amp; " ■■" &amp; CHAR(10) &amp; "• " &amp; 'الجدول'!O28 &amp; CHAR(10) &amp; "• " &amp; 'الجدول'!O29 &amp; CHAR(10) &amp; "• " &amp; 'الجدول'!O30 &amp; CHAR(10) &amp; "• " &amp; 'الجدول'!O31 &amp; CHAR(10) &amp; CHAR(10) &amp; "■■ " &amp; 'الجدول'!P1 &amp; " ■■" &amp; CHAR(10) &amp; "• " &amp; 'الجدول'!P28 &amp; CHAR(10) &amp; "• " &amp; 'الجدول'!P29 &amp; CHAR(10) &amp; "• " &amp; 'الجدول'!P30 &amp; CHAR(10) &amp; "• " &amp; 'الجدول'!P31 &amp; CHAR(10) &amp; CHAR(10) &amp; "■■ " &amp; 'الجدول'!Q1 &amp; " ■■" &amp; CHAR(10) &amp; "• " &amp; 'الجدول'!Q28 &amp; CHAR(10) &amp; "• " &amp; 'الجدول'!Q29 &amp; CHAR(10) &amp; "• " &amp; 'الجدول'!Q30 &amp; CHAR(10) &amp; "• " &amp; 'الجدول'!Q31 &amp; CHAR(10) &amp; CHAR(10) &amp; "■■ " &amp; 'الجدول'!R1 &amp; " ■■" &amp; CHAR(10) &amp; "• " &amp; 'الجدول'!R28 &amp; CHAR(10) &amp; "• " &amp; 'الجدول'!R29 &amp; CHAR(10) &amp; "• " &amp; 'الجدول'!R30 &amp; CHAR(10) &amp; "• " &amp; 'الجدول'!R31 &amp; CHAR(10) &amp; CHAR(10) &amp; "■■ " &amp; 'الجدول'!S1 &amp; " ■■" &amp; CHAR(10) &amp; "• " &amp; 'الجدول'!S28 &amp; CHAR(10) &amp; "• " &amp; 'الجدول'!S29 &amp; CHAR(10) &amp; "• " &amp; 'الجدول'!S30 &amp; CHAR(10) &amp; "• " &amp; 'الجدول'!S31 &amp; CHAR(10) &amp; CHAR(10) &amp; "■■ " &amp; 'الجدول'!T1 &amp; " ■■" &amp; CHAR(10) &amp; "• " &amp; 'الجدول'!T28 &amp; CHAR(10) &amp; "• " &amp; 'الجدول'!T29 &amp; CHAR(10) &amp; "• " &amp; 'الجدول'!T30 &amp; CHAR(10) &amp; "• " &amp; 'الجدول'!T31 &amp; CHAR(10) &amp; CHAR(10) &amp; "■■ " &amp; 'الجدول'!U1 &amp; " ■■" &amp; CHAR(10) &amp; "• " &amp; 'الجدول'!U28 &amp; CHAR(10) &amp; "• " &amp; 'الجدول'!U29 &amp; CHAR(10) &amp; "• " &amp; 'الجدول'!U30 &amp; CHAR(10) &amp; "• " &amp; 'الجدول'!U31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----------
• ----------
• ----------
• ----------
■■ شيفت صباحى ■■
• حازم كرم كرم
(01118280669)
• رحاب يحيي احمد
(01150081936)
• محمد السيد سعد
(01110135622)
• شاهيناز عبدالعزيز محمد
(01062940492)
■■ شيفت مسائى ■■
• ----------
• ----------
• ----------
• ----------
■■ شيفت مسائى ■■
• ميار مسعد توفيق
(01153028000)
• يمنى جمال فتحي
(01040454689)
• نورهان ياسر عبدالمعز
(01063257329)
• ----------
■■ ليستة ■■
• ----------
• ----------
• ----------
• ----------
</v>
      </c>
      <c r="C7" s="3" t="str">
        <f>HYPERLINK("#الجدول!A" &amp; 27, "الجدول الأساسي")</f>
        <v>الجدول الأساسي</v>
      </c>
    </row>
    <row r="8">
      <c r="A8" s="1" t="s">
        <v>80</v>
      </c>
      <c r="B8" s="5" t="str">
        <f>"" &amp; "■■ " &amp; 'الجدول'!B1 &amp; " ■■" &amp; CHAR(10) &amp; "• " &amp; 'الجدول'!B32 &amp; CHAR(10) &amp; "• " &amp; 'الجدول'!B33 &amp; CHAR(10) &amp; "• " &amp; 'الجدول'!B34 &amp; CHAR(10) &amp; "• " &amp; 'الجدول'!B35 &amp; CHAR(10) &amp; CHAR(10) &amp; "■■ " &amp; 'الجدول'!C1 &amp; " ■■" &amp; CHAR(10) &amp; "• " &amp; 'الجدول'!C32 &amp; CHAR(10) &amp; "• " &amp; 'الجدول'!C33 &amp; CHAR(10) &amp; "• " &amp; 'الجدول'!C34 &amp; CHAR(10) &amp; "• " &amp; 'الجدول'!C35 &amp; CHAR(10) &amp; CHAR(10) &amp; "■■ " &amp; 'الجدول'!D1 &amp; " ■■" &amp; CHAR(10) &amp; "• " &amp; 'الجدول'!D32 &amp; CHAR(10) &amp; "• " &amp; 'الجدول'!D33 &amp; CHAR(10) &amp; "• " &amp; 'الجدول'!D34 &amp; CHAR(10) &amp; "• " &amp; 'الجدول'!D35 &amp; CHAR(10) &amp; CHAR(10) &amp; "■■ " &amp; 'الجدول'!E1 &amp; " ■■" &amp; CHAR(10) &amp; "• " &amp; 'الجدول'!E32 &amp; CHAR(10) &amp; "• " &amp; 'الجدول'!E33 &amp; CHAR(10) &amp; "• " &amp; 'الجدول'!E34 &amp; CHAR(10) &amp; "• " &amp; 'الجدول'!E35 &amp; CHAR(10) &amp; CHAR(10) &amp; "■■ " &amp; 'الجدول'!F1 &amp; " ■■" &amp; CHAR(10) &amp; "• " &amp; 'الجدول'!F32 &amp; CHAR(10) &amp; "• " &amp; 'الجدول'!F33 &amp; CHAR(10) &amp; "• " &amp; 'الجدول'!F34 &amp; CHAR(10) &amp; "• " &amp; 'الجدول'!F35 &amp; CHAR(10) &amp; CHAR(10) &amp; "■■ " &amp; 'الجدول'!G1 &amp; " ■■" &amp; CHAR(10) &amp; "• " &amp; 'الجدول'!G32 &amp; CHAR(10) &amp; "• " &amp; 'الجدول'!G33 &amp; CHAR(10) &amp; "• " &amp; 'الجدول'!G34 &amp; CHAR(10) &amp; "• " &amp; 'الجدول'!G35 &amp; CHAR(10) &amp; CHAR(10) &amp; "■■ " &amp; 'الجدول'!H1 &amp; " ■■" &amp; CHAR(10) &amp; "• " &amp; 'الجدول'!H32 &amp; CHAR(10) &amp; "• " &amp; 'الجدول'!H33 &amp; CHAR(10) &amp; "• " &amp; 'الجدول'!H34 &amp; CHAR(10) &amp; "• " &amp; 'الجدول'!H35 &amp; CHAR(10) &amp; CHAR(10) &amp; "■■ " &amp; 'الجدول'!I1 &amp; " ■■" &amp; CHAR(10) &amp; "• " &amp; 'الجدول'!I32 &amp; CHAR(10) &amp; "• " &amp; 'الجدول'!I33 &amp; CHAR(10) &amp; "• " &amp; 'الجدول'!I34 &amp; CHAR(10) &amp; "• " &amp; 'الجدول'!I35 &amp; CHAR(10) &amp; CHAR(10) &amp; "■■ " &amp; 'الجدول'!J1 &amp; " ■■" &amp; CHAR(10) &amp; "• " &amp; 'الجدول'!J32 &amp; CHAR(10) &amp; "• " &amp; 'الجدول'!J33 &amp; CHAR(10) &amp; "• " &amp; 'الجدول'!J34 &amp; CHAR(10) &amp; "• " &amp; 'الجدول'!J35 &amp; CHAR(10) &amp; CHAR(10) &amp; "■■ " &amp; 'الجدول'!K1 &amp; " ■■" &amp; CHAR(10) &amp; "• " &amp; 'الجدول'!K32 &amp; CHAR(10) &amp; "• " &amp; 'الجدول'!K33 &amp; CHAR(10) &amp; "• " &amp; 'الجدول'!K34 &amp; CHAR(10) &amp; "• " &amp; 'الجدول'!K35 &amp; CHAR(10) &amp; CHAR(10) &amp; "■■ " &amp; 'الجدول'!L1 &amp; " ■■" &amp; CHAR(10) &amp; "• " &amp; 'الجدول'!L32 &amp; CHAR(10) &amp; "• " &amp; 'الجدول'!L33 &amp; CHAR(10) &amp; "• " &amp; 'الجدول'!L34 &amp; CHAR(10) &amp; "• " &amp; 'الجدول'!L35 &amp; CHAR(10) &amp; CHAR(10) &amp; "■■ " &amp; 'الجدول'!M1 &amp; " ■■" &amp; CHAR(10) &amp; "• " &amp; 'الجدول'!M32 &amp; CHAR(10) &amp; "• " &amp; 'الجدول'!M33 &amp; CHAR(10) &amp; "• " &amp; 'الجدول'!M34 &amp; CHAR(10) &amp; "• " &amp; 'الجدول'!M35 &amp; CHAR(10) &amp; CHAR(10) &amp; "■■ " &amp; 'الجدول'!N1 &amp; " ■■" &amp; CHAR(10) &amp; "• " &amp; 'الجدول'!N32 &amp; CHAR(10) &amp; "• " &amp; 'الجدول'!N33 &amp; CHAR(10) &amp; "• " &amp; 'الجدول'!N34 &amp; CHAR(10) &amp; "• " &amp; 'الجدول'!N35 &amp; CHAR(10) &amp; CHAR(10) &amp; "■■ " &amp; 'الجدول'!O1 &amp; " ■■" &amp; CHAR(10) &amp; "• " &amp; 'الجدول'!O32 &amp; CHAR(10) &amp; "• " &amp; 'الجدول'!O33 &amp; CHAR(10) &amp; "• " &amp; 'الجدول'!O34 &amp; CHAR(10) &amp; "• " &amp; 'الجدول'!O35 &amp; CHAR(10) &amp; CHAR(10) &amp; "■■ " &amp; 'الجدول'!P1 &amp; " ■■" &amp; CHAR(10) &amp; "• " &amp; 'الجدول'!P32 &amp; CHAR(10) &amp; "• " &amp; 'الجدول'!P33 &amp; CHAR(10) &amp; "• " &amp; 'الجدول'!P34 &amp; CHAR(10) &amp; "• " &amp; 'الجدول'!P35 &amp; CHAR(10) &amp; CHAR(10) &amp; "■■ " &amp; 'الجدول'!Q1 &amp; " ■■" &amp; CHAR(10) &amp; "• " &amp; 'الجدول'!Q32 &amp; CHAR(10) &amp; "• " &amp; 'الجدول'!Q33 &amp; CHAR(10) &amp; "• " &amp; 'الجدول'!Q34 &amp; CHAR(10) &amp; "• " &amp; 'الجدول'!Q35 &amp; CHAR(10) &amp; CHAR(10) &amp; "■■ " &amp; 'الجدول'!R1 &amp; " ■■" &amp; CHAR(10) &amp; "• " &amp; 'الجدول'!R32 &amp; CHAR(10) &amp; "• " &amp; 'الجدول'!R33 &amp; CHAR(10) &amp; "• " &amp; 'الجدول'!R34 &amp; CHAR(10) &amp; "• " &amp; 'الجدول'!R35 &amp; CHAR(10) &amp; CHAR(10) &amp; "■■ " &amp; 'الجدول'!S1 &amp; " ■■" &amp; CHAR(10) &amp; "• " &amp; 'الجدول'!S32 &amp; CHAR(10) &amp; "• " &amp; 'الجدول'!S33 &amp; CHAR(10) &amp; "• " &amp; 'الجدول'!S34 &amp; CHAR(10) &amp; "• " &amp; 'الجدول'!S35 &amp; CHAR(10) &amp; CHAR(10) &amp; "■■ " &amp; 'الجدول'!T1 &amp; " ■■" &amp; CHAR(10) &amp; "• " &amp; 'الجدول'!T32 &amp; CHAR(10) &amp; "• " &amp; 'الجدول'!T33 &amp; CHAR(10) &amp; "• " &amp; 'الجدول'!T34 &amp; CHAR(10) &amp; "• " &amp; 'الجدول'!T35 &amp; CHAR(10) &amp; CHAR(10) &amp; "■■ " &amp; 'الجدول'!U1 &amp; " ■■" &amp; CHAR(10) &amp; "• " &amp; 'الجدول'!U32 &amp; CHAR(10) &amp; "• " &amp; 'الجدول'!U33 &amp; CHAR(10) &amp; "• " &amp; 'الجدول'!U34 &amp; CHAR(10) &amp; "• " &amp; 'الجدول'!U35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ناتالي هاني
(01202965506)
• ReHab Nasser Khamis
(01159448250)
• هبه محمد نجيب
(01507093786)
• احمد رزق
(٠١٠٠٢٣٣٥٤٨٦)
■■ شيفت صباحى ■■
• ----------
• ----------
• ----------
• ----------
■■ شيفت مسائى ■■
• محمد عبد اللاه السيد حامد
(01559004738)
• حازم خالد حسن
(01005673996)
• مصطفي ابراهيم عبدالرحيم
(01098440316)
• ----------
■■ شيفت مسائى ■■
• ----------
• ----------
• ----------
• ----------
■■ ليستة ■■
• ----------
• ----------
• ----------
• ----------
</v>
      </c>
      <c r="C8" s="3" t="str">
        <f>HYPERLINK("#الجدول!A" &amp; 31, "الجدول الأساسي")</f>
        <v>الجدول الأساسي</v>
      </c>
    </row>
    <row r="9">
      <c r="A9" s="1" t="s">
        <v>82</v>
      </c>
      <c r="B9" s="5" t="str">
        <f>"" &amp; "■■ " &amp; 'الجدول'!B1 &amp; " ■■" &amp; CHAR(10) &amp; "• " &amp; 'الجدول'!B36 &amp; CHAR(10) &amp; "• " &amp; 'الجدول'!B37 &amp; CHAR(10) &amp; "• " &amp; 'الجدول'!B38 &amp; CHAR(10) &amp; "• " &amp; 'الجدول'!B39 &amp; CHAR(10) &amp; CHAR(10) &amp; "■■ " &amp; 'الجدول'!C1 &amp; " ■■" &amp; CHAR(10) &amp; "• " &amp; 'الجدول'!C36 &amp; CHAR(10) &amp; "• " &amp; 'الجدول'!C37 &amp; CHAR(10) &amp; "• " &amp; 'الجدول'!C38 &amp; CHAR(10) &amp; "• " &amp; 'الجدول'!C39 &amp; CHAR(10) &amp; CHAR(10) &amp; "■■ " &amp; 'الجدول'!D1 &amp; " ■■" &amp; CHAR(10) &amp; "• " &amp; 'الجدول'!D36 &amp; CHAR(10) &amp; "• " &amp; 'الجدول'!D37 &amp; CHAR(10) &amp; "• " &amp; 'الجدول'!D38 &amp; CHAR(10) &amp; "• " &amp; 'الجدول'!D39 &amp; CHAR(10) &amp; CHAR(10) &amp; "■■ " &amp; 'الجدول'!E1 &amp; " ■■" &amp; CHAR(10) &amp; "• " &amp; 'الجدول'!E36 &amp; CHAR(10) &amp; "• " &amp; 'الجدول'!E37 &amp; CHAR(10) &amp; "• " &amp; 'الجدول'!E38 &amp; CHAR(10) &amp; "• " &amp; 'الجدول'!E39 &amp; CHAR(10) &amp; CHAR(10) &amp; "■■ " &amp; 'الجدول'!F1 &amp; " ■■" &amp; CHAR(10) &amp; "• " &amp; 'الجدول'!F36 &amp; CHAR(10) &amp; "• " &amp; 'الجدول'!F37 &amp; CHAR(10) &amp; "• " &amp; 'الجدول'!F38 &amp; CHAR(10) &amp; "• " &amp; 'الجدول'!F39 &amp; CHAR(10) &amp; CHAR(10) &amp; "■■ " &amp; 'الجدول'!G1 &amp; " ■■" &amp; CHAR(10) &amp; "• " &amp; 'الجدول'!G36 &amp; CHAR(10) &amp; "• " &amp; 'الجدول'!G37 &amp; CHAR(10) &amp; "• " &amp; 'الجدول'!G38 &amp; CHAR(10) &amp; "• " &amp; 'الجدول'!G39 &amp; CHAR(10) &amp; CHAR(10) &amp; "■■ " &amp; 'الجدول'!H1 &amp; " ■■" &amp; CHAR(10) &amp; "• " &amp; 'الجدول'!H36 &amp; CHAR(10) &amp; "• " &amp; 'الجدول'!H37 &amp; CHAR(10) &amp; "• " &amp; 'الجدول'!H38 &amp; CHAR(10) &amp; "• " &amp; 'الجدول'!H39 &amp; CHAR(10) &amp; CHAR(10) &amp; "■■ " &amp; 'الجدول'!I1 &amp; " ■■" &amp; CHAR(10) &amp; "• " &amp; 'الجدول'!I36 &amp; CHAR(10) &amp; "• " &amp; 'الجدول'!I37 &amp; CHAR(10) &amp; "• " &amp; 'الجدول'!I38 &amp; CHAR(10) &amp; "• " &amp; 'الجدول'!I39 &amp; CHAR(10) &amp; CHAR(10) &amp; "■■ " &amp; 'الجدول'!J1 &amp; " ■■" &amp; CHAR(10) &amp; "• " &amp; 'الجدول'!J36 &amp; CHAR(10) &amp; "• " &amp; 'الجدول'!J37 &amp; CHAR(10) &amp; "• " &amp; 'الجدول'!J38 &amp; CHAR(10) &amp; "• " &amp; 'الجدول'!J39 &amp; CHAR(10) &amp; CHAR(10) &amp; "■■ " &amp; 'الجدول'!K1 &amp; " ■■" &amp; CHAR(10) &amp; "• " &amp; 'الجدول'!K36 &amp; CHAR(10) &amp; "• " &amp; 'الجدول'!K37 &amp; CHAR(10) &amp; "• " &amp; 'الجدول'!K38 &amp; CHAR(10) &amp; "• " &amp; 'الجدول'!K39 &amp; CHAR(10) &amp; CHAR(10) &amp; "■■ " &amp; 'الجدول'!L1 &amp; " ■■" &amp; CHAR(10) &amp; "• " &amp; 'الجدول'!L36 &amp; CHAR(10) &amp; "• " &amp; 'الجدول'!L37 &amp; CHAR(10) &amp; "• " &amp; 'الجدول'!L38 &amp; CHAR(10) &amp; "• " &amp; 'الجدول'!L39 &amp; CHAR(10) &amp; CHAR(10) &amp; "■■ " &amp; 'الجدول'!M1 &amp; " ■■" &amp; CHAR(10) &amp; "• " &amp; 'الجدول'!M36 &amp; CHAR(10) &amp; "• " &amp; 'الجدول'!M37 &amp; CHAR(10) &amp; "• " &amp; 'الجدول'!M38 &amp; CHAR(10) &amp; "• " &amp; 'الجدول'!M39 &amp; CHAR(10) &amp; CHAR(10) &amp; "■■ " &amp; 'الجدول'!N1 &amp; " ■■" &amp; CHAR(10) &amp; "• " &amp; 'الجدول'!N36 &amp; CHAR(10) &amp; "• " &amp; 'الجدول'!N37 &amp; CHAR(10) &amp; "• " &amp; 'الجدول'!N38 &amp; CHAR(10) &amp; "• " &amp; 'الجدول'!N39 &amp; CHAR(10) &amp; CHAR(10) &amp; "■■ " &amp; 'الجدول'!O1 &amp; " ■■" &amp; CHAR(10) &amp; "• " &amp; 'الجدول'!O36 &amp; CHAR(10) &amp; "• " &amp; 'الجدول'!O37 &amp; CHAR(10) &amp; "• " &amp; 'الجدول'!O38 &amp; CHAR(10) &amp; "• " &amp; 'الجدول'!O39 &amp; CHAR(10) &amp; CHAR(10) &amp; "■■ " &amp; 'الجدول'!P1 &amp; " ■■" &amp; CHAR(10) &amp; "• " &amp; 'الجدول'!P36 &amp; CHAR(10) &amp; "• " &amp; 'الجدول'!P37 &amp; CHAR(10) &amp; "• " &amp; 'الجدول'!P38 &amp; CHAR(10) &amp; "• " &amp; 'الجدول'!P39 &amp; CHAR(10) &amp; CHAR(10) &amp; "■■ " &amp; 'الجدول'!Q1 &amp; " ■■" &amp; CHAR(10) &amp; "• " &amp; 'الجدول'!Q36 &amp; CHAR(10) &amp; "• " &amp; 'الجدول'!Q37 &amp; CHAR(10) &amp; "• " &amp; 'الجدول'!Q38 &amp; CHAR(10) &amp; "• " &amp; 'الجدول'!Q39 &amp; CHAR(10) &amp; CHAR(10) &amp; "■■ " &amp; 'الجدول'!R1 &amp; " ■■" &amp; CHAR(10) &amp; "• " &amp; 'الجدول'!R36 &amp; CHAR(10) &amp; "• " &amp; 'الجدول'!R37 &amp; CHAR(10) &amp; "• " &amp; 'الجدول'!R38 &amp; CHAR(10) &amp; "• " &amp; 'الجدول'!R39 &amp; CHAR(10) &amp; CHAR(10) &amp; "■■ " &amp; 'الجدول'!S1 &amp; " ■■" &amp; CHAR(10) &amp; "• " &amp; 'الجدول'!S36 &amp; CHAR(10) &amp; "• " &amp; 'الجدول'!S37 &amp; CHAR(10) &amp; "• " &amp; 'الجدول'!S38 &amp; CHAR(10) &amp; "• " &amp; 'الجدول'!S39 &amp; CHAR(10) &amp; CHAR(10) &amp; "■■ " &amp; 'الجدول'!T1 &amp; " ■■" &amp; CHAR(10) &amp; "• " &amp; 'الجدول'!T36 &amp; CHAR(10) &amp; "• " &amp; 'الجدول'!T37 &amp; CHAR(10) &amp; "• " &amp; 'الجدول'!T38 &amp; CHAR(10) &amp; "• " &amp; 'الجدول'!T39 &amp; CHAR(10) &amp; CHAR(10) &amp; "■■ " &amp; 'الجدول'!U1 &amp; " ■■" &amp; CHAR(10) &amp; "• " &amp; 'الجدول'!U36 &amp; CHAR(10) &amp; "• " &amp; 'الجدول'!U37 &amp; CHAR(10) &amp; "• " &amp; 'الجدول'!U38 &amp; CHAR(10) &amp; "• " &amp; 'الجدول'!U39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محمد علي جادالرب
(01553129877)
• Mona araby sayed
(01102616595)
• Mohamed lotfy
(01064810610)
• تمارا خالد جمال الدين
(01096688868)
■■ شيفت صباحى ■■
• ----------
• ----------
• ----------
• ----------
■■ شيفت مسائى ■■
• رحاب يحيي احمد
(01150081936)
• Raghad Elhamy
(01116764208)
• عمر محمد أحمد
(01208321212)
• ----------
■■ شيفت مسائى ■■
• ----------
• ----------
• ----------
• ----------
■■ ليستة ■■
• عمر سراج الدين فتحي
(01142862330)
• فاطمة أحمد درويش
(01093879135)
• ----------
• ----------
</v>
      </c>
      <c r="C9" s="3" t="str">
        <f>HYPERLINK("#الجدول!A" &amp; 35, "الجدول الأساسي")</f>
        <v>الجدول الأساسي</v>
      </c>
    </row>
    <row r="10">
      <c r="A10" s="1" t="s">
        <v>83</v>
      </c>
      <c r="B10" s="5" t="str">
        <f>"" &amp; "■■ " &amp; 'الجدول'!B1 &amp; " ■■" &amp; CHAR(10) &amp; "• " &amp; 'الجدول'!B40 &amp; CHAR(10) &amp; "• " &amp; 'الجدول'!B41 &amp; CHAR(10) &amp; "• " &amp; 'الجدول'!B42 &amp; CHAR(10) &amp; "• " &amp; 'الجدول'!B43 &amp; CHAR(10) &amp; CHAR(10) &amp; "■■ " &amp; 'الجدول'!C1 &amp; " ■■" &amp; CHAR(10) &amp; "• " &amp; 'الجدول'!C40 &amp; CHAR(10) &amp; "• " &amp; 'الجدول'!C41 &amp; CHAR(10) &amp; "• " &amp; 'الجدول'!C42 &amp; CHAR(10) &amp; "• " &amp; 'الجدول'!C43 &amp; CHAR(10) &amp; CHAR(10) &amp; "■■ " &amp; 'الجدول'!D1 &amp; " ■■" &amp; CHAR(10) &amp; "• " &amp; 'الجدول'!D40 &amp; CHAR(10) &amp; "• " &amp; 'الجدول'!D41 &amp; CHAR(10) &amp; "• " &amp; 'الجدول'!D42 &amp; CHAR(10) &amp; "• " &amp; 'الجدول'!D43 &amp; CHAR(10) &amp; CHAR(10) &amp; "■■ " &amp; 'الجدول'!E1 &amp; " ■■" &amp; CHAR(10) &amp; "• " &amp; 'الجدول'!E40 &amp; CHAR(10) &amp; "• " &amp; 'الجدول'!E41 &amp; CHAR(10) &amp; "• " &amp; 'الجدول'!E42 &amp; CHAR(10) &amp; "• " &amp; 'الجدول'!E43 &amp; CHAR(10) &amp; CHAR(10) &amp; "■■ " &amp; 'الجدول'!F1 &amp; " ■■" &amp; CHAR(10) &amp; "• " &amp; 'الجدول'!F40 &amp; CHAR(10) &amp; "• " &amp; 'الجدول'!F41 &amp; CHAR(10) &amp; "• " &amp; 'الجدول'!F42 &amp; CHAR(10) &amp; "• " &amp; 'الجدول'!F43 &amp; CHAR(10) &amp; CHAR(10) &amp; "■■ " &amp; 'الجدول'!G1 &amp; " ■■" &amp; CHAR(10) &amp; "• " &amp; 'الجدول'!G40 &amp; CHAR(10) &amp; "• " &amp; 'الجدول'!G41 &amp; CHAR(10) &amp; "• " &amp; 'الجدول'!G42 &amp; CHAR(10) &amp; "• " &amp; 'الجدول'!G43 &amp; CHAR(10) &amp; CHAR(10) &amp; "■■ " &amp; 'الجدول'!H1 &amp; " ■■" &amp; CHAR(10) &amp; "• " &amp; 'الجدول'!H40 &amp; CHAR(10) &amp; "• " &amp; 'الجدول'!H41 &amp; CHAR(10) &amp; "• " &amp; 'الجدول'!H42 &amp; CHAR(10) &amp; "• " &amp; 'الجدول'!H43 &amp; CHAR(10) &amp; CHAR(10) &amp; "■■ " &amp; 'الجدول'!I1 &amp; " ■■" &amp; CHAR(10) &amp; "• " &amp; 'الجدول'!I40 &amp; CHAR(10) &amp; "• " &amp; 'الجدول'!I41 &amp; CHAR(10) &amp; "• " &amp; 'الجدول'!I42 &amp; CHAR(10) &amp; "• " &amp; 'الجدول'!I43 &amp; CHAR(10) &amp; CHAR(10) &amp; "■■ " &amp; 'الجدول'!J1 &amp; " ■■" &amp; CHAR(10) &amp; "• " &amp; 'الجدول'!J40 &amp; CHAR(10) &amp; "• " &amp; 'الجدول'!J41 &amp; CHAR(10) &amp; "• " &amp; 'الجدول'!J42 &amp; CHAR(10) &amp; "• " &amp; 'الجدول'!J43 &amp; CHAR(10) &amp; CHAR(10) &amp; "■■ " &amp; 'الجدول'!K1 &amp; " ■■" &amp; CHAR(10) &amp; "• " &amp; 'الجدول'!K40 &amp; CHAR(10) &amp; "• " &amp; 'الجدول'!K41 &amp; CHAR(10) &amp; "• " &amp; 'الجدول'!K42 &amp; CHAR(10) &amp; "• " &amp; 'الجدول'!K43 &amp; CHAR(10) &amp; CHAR(10) &amp; "■■ " &amp; 'الجدول'!L1 &amp; " ■■" &amp; CHAR(10) &amp; "• " &amp; 'الجدول'!L40 &amp; CHAR(10) &amp; "• " &amp; 'الجدول'!L41 &amp; CHAR(10) &amp; "• " &amp; 'الجدول'!L42 &amp; CHAR(10) &amp; "• " &amp; 'الجدول'!L43 &amp; CHAR(10) &amp; CHAR(10) &amp; "■■ " &amp; 'الجدول'!M1 &amp; " ■■" &amp; CHAR(10) &amp; "• " &amp; 'الجدول'!M40 &amp; CHAR(10) &amp; "• " &amp; 'الجدول'!M41 &amp; CHAR(10) &amp; "• " &amp; 'الجدول'!M42 &amp; CHAR(10) &amp; "• " &amp; 'الجدول'!M43 &amp; CHAR(10) &amp; CHAR(10) &amp; "■■ " &amp; 'الجدول'!N1 &amp; " ■■" &amp; CHAR(10) &amp; "• " &amp; 'الجدول'!N40 &amp; CHAR(10) &amp; "• " &amp; 'الجدول'!N41 &amp; CHAR(10) &amp; "• " &amp; 'الجدول'!N42 &amp; CHAR(10) &amp; "• " &amp; 'الجدول'!N43 &amp; CHAR(10) &amp; CHAR(10) &amp; "■■ " &amp; 'الجدول'!O1 &amp; " ■■" &amp; CHAR(10) &amp; "• " &amp; 'الجدول'!O40 &amp; CHAR(10) &amp; "• " &amp; 'الجدول'!O41 &amp; CHAR(10) &amp; "• " &amp; 'الجدول'!O42 &amp; CHAR(10) &amp; "• " &amp; 'الجدول'!O43 &amp; CHAR(10) &amp; CHAR(10) &amp; "■■ " &amp; 'الجدول'!P1 &amp; " ■■" &amp; CHAR(10) &amp; "• " &amp; 'الجدول'!P40 &amp; CHAR(10) &amp; "• " &amp; 'الجدول'!P41 &amp; CHAR(10) &amp; "• " &amp; 'الجدول'!P42 &amp; CHAR(10) &amp; "• " &amp; 'الجدول'!P43 &amp; CHAR(10) &amp; CHAR(10) &amp; "■■ " &amp; 'الجدول'!Q1 &amp; " ■■" &amp; CHAR(10) &amp; "• " &amp; 'الجدول'!Q40 &amp; CHAR(10) &amp; "• " &amp; 'الجدول'!Q41 &amp; CHAR(10) &amp; "• " &amp; 'الجدول'!Q42 &amp; CHAR(10) &amp; "• " &amp; 'الجدول'!Q43 &amp; CHAR(10) &amp; CHAR(10) &amp; "■■ " &amp; 'الجدول'!R1 &amp; " ■■" &amp; CHAR(10) &amp; "• " &amp; 'الجدول'!R40 &amp; CHAR(10) &amp; "• " &amp; 'الجدول'!R41 &amp; CHAR(10) &amp; "• " &amp; 'الجدول'!R42 &amp; CHAR(10) &amp; "• " &amp; 'الجدول'!R43 &amp; CHAR(10) &amp; CHAR(10) &amp; "■■ " &amp; 'الجدول'!S1 &amp; " ■■" &amp; CHAR(10) &amp; "• " &amp; 'الجدول'!S40 &amp; CHAR(10) &amp; "• " &amp; 'الجدول'!S41 &amp; CHAR(10) &amp; "• " &amp; 'الجدول'!S42 &amp; CHAR(10) &amp; "• " &amp; 'الجدول'!S43 &amp; CHAR(10) &amp; CHAR(10) &amp; "■■ " &amp; 'الجدول'!T1 &amp; " ■■" &amp; CHAR(10) &amp; "• " &amp; 'الجدول'!T40 &amp; CHAR(10) &amp; "• " &amp; 'الجدول'!T41 &amp; CHAR(10) &amp; "• " &amp; 'الجدول'!T42 &amp; CHAR(10) &amp; "• " &amp; 'الجدول'!T43 &amp; CHAR(10) &amp; CHAR(10) &amp; "■■ " &amp; 'الجدول'!U1 &amp; " ■■" &amp; CHAR(10) &amp; "• " &amp; 'الجدول'!U40 &amp; CHAR(10) &amp; "• " &amp; 'الجدول'!U41 &amp; CHAR(10) &amp; "• " &amp; 'الجدول'!U42 &amp; CHAR(10) &amp; "• " &amp; 'الجدول'!U43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خالد شريف البجيرمي
(01062857469)
• مريم علاء محمود
(01001770021)
• رضوى صلاح
(01002301809)
• منة الله فؤاد القماح
(1013662223)
■■ شيفت صباحى ■■
• ----------
• ----------
• ----------
• ----------
■■ شيفت مسائى ■■
• عبدالرحمن رمضان رزق
(01098897354)
• أحمد محمد فتحي
(01151513326)
• فؤاد أحمد عبدالمنعم
(01091535003)
• ----------
■■ شيفت مسائى ■■
• ----------
• ----------
• ----------
• ----------
■■ ليستة ■■
• سلوى نبيل متولي
(01116383438)
• حسام سالم الداعور
(01123835996)
• ----------
• ----------
</v>
      </c>
      <c r="C10" s="3" t="str">
        <f>HYPERLINK("#الجدول!A" &amp; 39, "الجدول الأساسي")</f>
        <v>الجدول الأساسي</v>
      </c>
    </row>
    <row r="11">
      <c r="A11" s="1" t="s">
        <v>84</v>
      </c>
      <c r="B11" s="5" t="str">
        <f>"" &amp; "■■ " &amp; 'الجدول'!B1 &amp; " ■■" &amp; CHAR(10) &amp; "• " &amp; 'الجدول'!B44 &amp; CHAR(10) &amp; "• " &amp; 'الجدول'!B45 &amp; CHAR(10) &amp; "• " &amp; 'الجدول'!B46 &amp; CHAR(10) &amp; CHAR(10) &amp; "■■ " &amp; 'الجدول'!C1 &amp; " ■■" &amp; CHAR(10) &amp; "• " &amp; 'الجدول'!C44 &amp; CHAR(10) &amp; "• " &amp; 'الجدول'!C45 &amp; CHAR(10) &amp; "• " &amp; 'الجدول'!C46 &amp; CHAR(10) &amp; CHAR(10) &amp; "■■ " &amp; 'الجدول'!D1 &amp; " ■■" &amp; CHAR(10) &amp; "• " &amp; 'الجدول'!D44 &amp; CHAR(10) &amp; "• " &amp; 'الجدول'!D45 &amp; CHAR(10) &amp; "• " &amp; 'الجدول'!D46 &amp; CHAR(10) &amp; CHAR(10) &amp; "■■ " &amp; 'الجدول'!E1 &amp; " ■■" &amp; CHAR(10) &amp; "• " &amp; 'الجدول'!E44 &amp; CHAR(10) &amp; "• " &amp; 'الجدول'!E45 &amp; CHAR(10) &amp; "• " &amp; 'الجدول'!E46 &amp; CHAR(10) &amp; CHAR(10) &amp; "■■ " &amp; 'الجدول'!F1 &amp; " ■■" &amp; CHAR(10) &amp; "• " &amp; 'الجدول'!F44 &amp; CHAR(10) &amp; "• " &amp; 'الجدول'!F45 &amp; CHAR(10) &amp; "• " &amp; 'الجدول'!F46 &amp; CHAR(10) &amp; CHAR(10) &amp; "■■ " &amp; 'الجدول'!G1 &amp; " ■■" &amp; CHAR(10) &amp; "• " &amp; 'الجدول'!G44 &amp; CHAR(10) &amp; "• " &amp; 'الجدول'!G45 &amp; CHAR(10) &amp; "• " &amp; 'الجدول'!G46 &amp; CHAR(10) &amp; CHAR(10) &amp; "■■ " &amp; 'الجدول'!H1 &amp; " ■■" &amp; CHAR(10) &amp; "• " &amp; 'الجدول'!H44 &amp; CHAR(10) &amp; "• " &amp; 'الجدول'!H45 &amp; CHAR(10) &amp; "• " &amp; 'الجدول'!H46 &amp; CHAR(10) &amp; CHAR(10) &amp; "■■ " &amp; 'الجدول'!I1 &amp; " ■■" &amp; CHAR(10) &amp; "• " &amp; 'الجدول'!I44 &amp; CHAR(10) &amp; "• " &amp; 'الجدول'!I45 &amp; CHAR(10) &amp; "• " &amp; 'الجدول'!I46 &amp; CHAR(10) &amp; CHAR(10) &amp; "■■ " &amp; 'الجدول'!J1 &amp; " ■■" &amp; CHAR(10) &amp; "• " &amp; 'الجدول'!J44 &amp; CHAR(10) &amp; "• " &amp; 'الجدول'!J45 &amp; CHAR(10) &amp; "• " &amp; 'الجدول'!J46 &amp; CHAR(10) &amp; CHAR(10) &amp; "■■ " &amp; 'الجدول'!K1 &amp; " ■■" &amp; CHAR(10) &amp; "• " &amp; 'الجدول'!K44 &amp; CHAR(10) &amp; "• " &amp; 'الجدول'!K45 &amp; CHAR(10) &amp; "• " &amp; 'الجدول'!K46 &amp; CHAR(10) &amp; CHAR(10) &amp; "■■ " &amp; 'الجدول'!L1 &amp; " ■■" &amp; CHAR(10) &amp; "• " &amp; 'الجدول'!L44 &amp; CHAR(10) &amp; "• " &amp; 'الجدول'!L45 &amp; CHAR(10) &amp; "• " &amp; 'الجدول'!L46 &amp; CHAR(10) &amp; CHAR(10) &amp; "■■ " &amp; 'الجدول'!M1 &amp; " ■■" &amp; CHAR(10) &amp; "• " &amp; 'الجدول'!M44 &amp; CHAR(10) &amp; "• " &amp; 'الجدول'!M45 &amp; CHAR(10) &amp; "• " &amp; 'الجدول'!M46 &amp; CHAR(10) &amp; CHAR(10) &amp; "■■ " &amp; 'الجدول'!N1 &amp; " ■■" &amp; CHAR(10) &amp; "• " &amp; 'الجدول'!N44 &amp; CHAR(10) &amp; "• " &amp; 'الجدول'!N45 &amp; CHAR(10) &amp; "• " &amp; 'الجدول'!N46 &amp; CHAR(10) &amp; CHAR(10) &amp; "■■ " &amp; 'الجدول'!O1 &amp; " ■■" &amp; CHAR(10) &amp; "• " &amp; 'الجدول'!O44 &amp; CHAR(10) &amp; "• " &amp; 'الجدول'!O45 &amp; CHAR(10) &amp; "• " &amp; 'الجدول'!O46 &amp; CHAR(10) &amp; CHAR(10) &amp; "■■ " &amp; 'الجدول'!P1 &amp; " ■■" &amp; CHAR(10) &amp; "• " &amp; 'الجدول'!P44 &amp; CHAR(10) &amp; "• " &amp; 'الجدول'!P45 &amp; CHAR(10) &amp; "• " &amp; 'الجدول'!P46 &amp; CHAR(10) &amp; CHAR(10) &amp; "■■ " &amp; 'الجدول'!Q1 &amp; " ■■" &amp; CHAR(10) &amp; "• " &amp; 'الجدول'!Q44 &amp; CHAR(10) &amp; "• " &amp; 'الجدول'!Q45 &amp; CHAR(10) &amp; "• " &amp; 'الجدول'!Q46 &amp; CHAR(10) &amp; CHAR(10) &amp; "■■ " &amp; 'الجدول'!R1 &amp; " ■■" &amp; CHAR(10) &amp; "• " &amp; 'الجدول'!R44 &amp; CHAR(10) &amp; "• " &amp; 'الجدول'!R45 &amp; CHAR(10) &amp; "• " &amp; 'الجدول'!R46 &amp; CHAR(10) &amp; CHAR(10) &amp; "■■ " &amp; 'الجدول'!S1 &amp; " ■■" &amp; CHAR(10) &amp; "• " &amp; 'الجدول'!S44 &amp; CHAR(10) &amp; "• " &amp; 'الجدول'!S45 &amp; CHAR(10) &amp; "• " &amp; 'الجدول'!S46 &amp; CHAR(10) &amp; CHAR(10) &amp; "■■ " &amp; 'الجدول'!T1 &amp; " ■■" &amp; CHAR(10) &amp; "• " &amp; 'الجدول'!T44 &amp; CHAR(10) &amp; "• " &amp; 'الجدول'!T45 &amp; CHAR(10) &amp; "• " &amp; 'الجدول'!T46 &amp; CHAR(10) &amp; CHAR(10) &amp; "■■ " &amp; 'الجدول'!U1 &amp; " ■■" &amp; CHAR(10) &amp; "• " &amp; 'الجدول'!U44 &amp; CHAR(10) &amp; "• " &amp; 'الجدول'!U45 &amp; CHAR(10) &amp; "• " &amp; 'الجدول'!U46 &amp; CHAR(10) &amp; CHAR(10)</f>
        <v>■■ A) DAY CLINIC THEN OPERATIONS ■■
• ----------
• ----------
• ----------
■■ A) NIGHT OPERATIONS ■■
• ----------
• ----------
• ----------
■■ B) DAY SENIOR GENERAL ■■
• ----------
• ----------
• ----------
■■ B) NIGHT SENIOR GENERAL ■■
• ----------
• ----------
• ----------
■■ C) DAY ADMISSION ■■
• ----------
• ----------
• ----------
■■ C) NIGHT ADMISSION ■■
• ----------
• ----------
• ----------
■■ D) DAY GENERAL ■■
• ----------
• ----------
• ----------
■■ D) NIGHT GENERAL ■■
• ----------
• ----------
• ----------
■■ E) DAY SENIOR PT ■■
• ----------
• ----------
• ----------
■■ E) NIGHT SENIOR PT ■■
• ----------
• ----------
• ----------
■■ F) DAY PT ■■
• ----------
• ----------
• ----------
■■ F) NIGHT PT ■■
• ----------
• ----------
• ----------
■■ G) DAY WARD ■■
• ----------
• ----------
• ----------
■■ G) NIGHT WARD ■■
• ----------
• ----------
• ----------
■■ Shift ward 1-8pm ■■
• العوضي أسامة العوضي جراوش
(01144402429)
• محمد محمود عبدالسلام
(01152327499)
• ----------
■■ شيفت صباحى ■■
• جورج ممدوح
(01207444355)
• فاطمة أحمد درويش
(01093879135)
• مصطفي ابراهيم عبدالرحيم
(01098440316)
■■ شيفت صباحى ■■
• ----------
• ----------
• ----------
■■ شيفت مسائى ■■
• عائشة عمرو قرشي
(01002171719)
• عمر سراج الدين فتحي
(01142862330)
• ----------
■■ شيفت مسائى ■■
• ----------
• ----------
• ----------
■■ ليستة ■■
• ----------
• ----------
• ----------
</v>
      </c>
      <c r="C11" s="3" t="str">
        <f>HYPERLINK("#الجدول!A" &amp; 43, "الجدول الأساسي")</f>
        <v>الجدول الأساسي</v>
      </c>
    </row>
    <row r="12">
      <c r="A12" s="1" t="s">
        <v>86</v>
      </c>
      <c r="B12" s="5" t="str">
        <f>"" &amp; "■■ " &amp; 'الجدول'!B1 &amp; " ■■" &amp; CHAR(10) &amp; "• " &amp; 'الجدول'!B47 &amp; CHAR(10) &amp; "• " &amp; 'الجدول'!B48 &amp; CHAR(10) &amp; "• " &amp; 'الجدول'!B49 &amp; CHAR(10) &amp; "• " &amp; 'الجدول'!B50 &amp; CHAR(10) &amp; "• " &amp; 'الجدول'!B51 &amp; CHAR(10) &amp; "• " &amp; 'الجدول'!B52 &amp; CHAR(10) &amp; "• " &amp; 'الجدول'!B53 &amp; CHAR(10) &amp; "• " &amp; 'الجدول'!B54 &amp; CHAR(10) &amp; CHAR(10) &amp; "■■ " &amp; 'الجدول'!C1 &amp; " ■■" &amp; CHAR(10) &amp; "• " &amp; 'الجدول'!C47 &amp; CHAR(10) &amp; "• " &amp; 'الجدول'!C48 &amp; CHAR(10) &amp; "• " &amp; 'الجدول'!C49 &amp; CHAR(10) &amp; "• " &amp; 'الجدول'!C50 &amp; CHAR(10) &amp; "• " &amp; 'الجدول'!C51 &amp; CHAR(10) &amp; "• " &amp; 'الجدول'!C52 &amp; CHAR(10) &amp; "• " &amp; 'الجدول'!C53 &amp; CHAR(10) &amp; "• " &amp; 'الجدول'!C54 &amp; CHAR(10) &amp; CHAR(10) &amp; "■■ " &amp; 'الجدول'!D1 &amp; " ■■" &amp; CHAR(10) &amp; "• " &amp; 'الجدول'!D47 &amp; CHAR(10) &amp; "• " &amp; 'الجدول'!D48 &amp; CHAR(10) &amp; "• " &amp; 'الجدول'!D49 &amp; CHAR(10) &amp; "• " &amp; 'الجدول'!D50 &amp; CHAR(10) &amp; "• " &amp; 'الجدول'!D51 &amp; CHAR(10) &amp; "• " &amp; 'الجدول'!D52 &amp; CHAR(10) &amp; "• " &amp; 'الجدول'!D53 &amp; CHAR(10) &amp; "• " &amp; 'الجدول'!D54 &amp; CHAR(10) &amp; CHAR(10) &amp; "■■ " &amp; 'الجدول'!E1 &amp; " ■■" &amp; CHAR(10) &amp; "• " &amp; 'الجدول'!E47 &amp; CHAR(10) &amp; "• " &amp; 'الجدول'!E48 &amp; CHAR(10) &amp; "• " &amp; 'الجدول'!E49 &amp; CHAR(10) &amp; "• " &amp; 'الجدول'!E50 &amp; CHAR(10) &amp; "• " &amp; 'الجدول'!E51 &amp; CHAR(10) &amp; "• " &amp; 'الجدول'!E52 &amp; CHAR(10) &amp; "• " &amp; 'الجدول'!E53 &amp; CHAR(10) &amp; "• " &amp; 'الجدول'!E54 &amp; CHAR(10) &amp; CHAR(10) &amp; "■■ " &amp; 'الجدول'!F1 &amp; " ■■" &amp; CHAR(10) &amp; "• " &amp; 'الجدول'!F47 &amp; CHAR(10) &amp; "• " &amp; 'الجدول'!F48 &amp; CHAR(10) &amp; "• " &amp; 'الجدول'!F49 &amp; CHAR(10) &amp; "• " &amp; 'الجدول'!F50 &amp; CHAR(10) &amp; "• " &amp; 'الجدول'!F51 &amp; CHAR(10) &amp; "• " &amp; 'الجدول'!F52 &amp; CHAR(10) &amp; "• " &amp; 'الجدول'!F53 &amp; CHAR(10) &amp; "• " &amp; 'الجدول'!F54 &amp; CHAR(10) &amp; CHAR(10) &amp; "■■ " &amp; 'الجدول'!G1 &amp; " ■■" &amp; CHAR(10) &amp; "• " &amp; 'الجدول'!G47 &amp; CHAR(10) &amp; "• " &amp; 'الجدول'!G48 &amp; CHAR(10) &amp; "• " &amp; 'الجدول'!G49 &amp; CHAR(10) &amp; "• " &amp; 'الجدول'!G50 &amp; CHAR(10) &amp; "• " &amp; 'الجدول'!G51 &amp; CHAR(10) &amp; "• " &amp; 'الجدول'!G52 &amp; CHAR(10) &amp; "• " &amp; 'الجدول'!G53 &amp; CHAR(10) &amp; "• " &amp; 'الجدول'!G54 &amp; CHAR(10) &amp; CHAR(10) &amp; "■■ " &amp; 'الجدول'!H1 &amp; " ■■" &amp; CHAR(10) &amp; "• " &amp; 'الجدول'!H47 &amp; CHAR(10) &amp; "• " &amp; 'الجدول'!H48 &amp; CHAR(10) &amp; "• " &amp; 'الجدول'!H49 &amp; CHAR(10) &amp; "• " &amp; 'الجدول'!H50 &amp; CHAR(10) &amp; "• " &amp; 'الجدول'!H51 &amp; CHAR(10) &amp; "• " &amp; 'الجدول'!H52 &amp; CHAR(10) &amp; "• " &amp; 'الجدول'!H53 &amp; CHAR(10) &amp; "• " &amp; 'الجدول'!H54 &amp; CHAR(10) &amp; CHAR(10) &amp; "■■ " &amp; 'الجدول'!I1 &amp; " ■■" &amp; CHAR(10) &amp; "• " &amp; 'الجدول'!I47 &amp; CHAR(10) &amp; "• " &amp; 'الجدول'!I48 &amp; CHAR(10) &amp; "• " &amp; 'الجدول'!I49 &amp; CHAR(10) &amp; "• " &amp; 'الجدول'!I50 &amp; CHAR(10) &amp; "• " &amp; 'الجدول'!I51 &amp; CHAR(10) &amp; "• " &amp; 'الجدول'!I52 &amp; CHAR(10) &amp; "• " &amp; 'الجدول'!I53 &amp; CHAR(10) &amp; "• " &amp; 'الجدول'!I54 &amp; CHAR(10) &amp; CHAR(10) &amp; "■■ " &amp; 'الجدول'!J1 &amp; " ■■" &amp; CHAR(10) &amp; "• " &amp; 'الجدول'!J47 &amp; CHAR(10) &amp; "• " &amp; 'الجدول'!J48 &amp; CHAR(10) &amp; "• " &amp; 'الجدول'!J49 &amp; CHAR(10) &amp; "• " &amp; 'الجدول'!J50 &amp; CHAR(10) &amp; "• " &amp; 'الجدول'!J51 &amp; CHAR(10) &amp; "• " &amp; 'الجدول'!J52 &amp; CHAR(10) &amp; "• " &amp; 'الجدول'!J53 &amp; CHAR(10) &amp; "• " &amp; 'الجدول'!J54 &amp; CHAR(10) &amp; CHAR(10) &amp; "■■ " &amp; 'الجدول'!K1 &amp; " ■■" &amp; CHAR(10) &amp; "• " &amp; 'الجدول'!K47 &amp; CHAR(10) &amp; "• " &amp; 'الجدول'!K48 &amp; CHAR(10) &amp; "• " &amp; 'الجدول'!K49 &amp; CHAR(10) &amp; "• " &amp; 'الجدول'!K50 &amp; CHAR(10) &amp; "• " &amp; 'الجدول'!K51 &amp; CHAR(10) &amp; "• " &amp; 'الجدول'!K52 &amp; CHAR(10) &amp; "• " &amp; 'الجدول'!K53 &amp; CHAR(10) &amp; "• " &amp; 'الجدول'!K54 &amp; CHAR(10) &amp; CHAR(10) &amp; "■■ " &amp; 'الجدول'!L1 &amp; " ■■" &amp; CHAR(10) &amp; "• " &amp; 'الجدول'!L47 &amp; CHAR(10) &amp; "• " &amp; 'الجدول'!L48 &amp; CHAR(10) &amp; "• " &amp; 'الجدول'!L49 &amp; CHAR(10) &amp; "• " &amp; 'الجدول'!L50 &amp; CHAR(10) &amp; "• " &amp; 'الجدول'!L51 &amp; CHAR(10) &amp; "• " &amp; 'الجدول'!L52 &amp; CHAR(10) &amp; "• " &amp; 'الجدول'!L53 &amp; CHAR(10) &amp; "• " &amp; 'الجدول'!L54 &amp; CHAR(10) &amp; CHAR(10) &amp; "■■ " &amp; 'الجدول'!M1 &amp; " ■■" &amp; CHAR(10) &amp; "• " &amp; 'الجدول'!M47 &amp; CHAR(10) &amp; "• " &amp; 'الجدول'!M48 &amp; CHAR(10) &amp; "• " &amp; 'الجدول'!M49 &amp; CHAR(10) &amp; "• " &amp; 'الجدول'!M50 &amp; CHAR(10) &amp; "• " &amp; 'الجدول'!M51 &amp; CHAR(10) &amp; "• " &amp; 'الجدول'!M52 &amp; CHAR(10) &amp; "• " &amp; 'الجدول'!M53 &amp; CHAR(10) &amp; "• " &amp; 'الجدول'!M54 &amp; CHAR(10) &amp; CHAR(10) &amp; "■■ " &amp; 'الجدول'!N1 &amp; " ■■" &amp; CHAR(10) &amp; "• " &amp; 'الجدول'!N47 &amp; CHAR(10) &amp; "• " &amp; 'الجدول'!N48 &amp; CHAR(10) &amp; "• " &amp; 'الجدول'!N49 &amp; CHAR(10) &amp; "• " &amp; 'الجدول'!N50 &amp; CHAR(10) &amp; "• " &amp; 'الجدول'!N51 &amp; CHAR(10) &amp; "• " &amp; 'الجدول'!N52 &amp; CHAR(10) &amp; "• " &amp; 'الجدول'!N53 &amp; CHAR(10) &amp; "• " &amp; 'الجدول'!N54 &amp; CHAR(10) &amp; CHAR(10) &amp; "■■ " &amp; 'الجدول'!O1 &amp; " ■■" &amp; CHAR(10) &amp; "• " &amp; 'الجدول'!O47 &amp; CHAR(10) &amp; "• " &amp; 'الجدول'!O48 &amp; CHAR(10) &amp; "• " &amp; 'الجدول'!O49 &amp; CHAR(10) &amp; "• " &amp; 'الجدول'!O50 &amp; CHAR(10) &amp; "• " &amp; 'الجدول'!O51 &amp; CHAR(10) &amp; "• " &amp; 'الجدول'!O52 &amp; CHAR(10) &amp; "• " &amp; 'الجدول'!O53 &amp; CHAR(10) &amp; "• " &amp; 'الجدول'!O54 &amp; CHAR(10) &amp; CHAR(10) &amp; "■■ " &amp; 'الجدول'!P1 &amp; " ■■" &amp; CHAR(10) &amp; "• " &amp; 'الجدول'!P47 &amp; CHAR(10) &amp; "• " &amp; 'الجدول'!P48 &amp; CHAR(10) &amp; "• " &amp; 'الجدول'!P49 &amp; CHAR(10) &amp; "• " &amp; 'الجدول'!P50 &amp; CHAR(10) &amp; "• " &amp; 'الجدول'!P51 &amp; CHAR(10) &amp; "• " &amp; 'الجدول'!P52 &amp; CHAR(10) &amp; "• " &amp; 'الجدول'!P53 &amp; CHAR(10) &amp; "• " &amp; 'الجدول'!P54 &amp; CHAR(10) &amp; CHAR(10) &amp; "■■ " &amp; 'الجدول'!Q1 &amp; " ■■" &amp; CHAR(10) &amp; "• " &amp; 'الجدول'!Q47 &amp; CHAR(10) &amp; "• " &amp; 'الجدول'!Q48 &amp; CHAR(10) &amp; "• " &amp; 'الجدول'!Q49 &amp; CHAR(10) &amp; "• " &amp; 'الجدول'!Q50 &amp; CHAR(10) &amp; "• " &amp; 'الجدول'!Q51 &amp; CHAR(10) &amp; "• " &amp; 'الجدول'!Q52 &amp; CHAR(10) &amp; "• " &amp; 'الجدول'!Q53 &amp; CHAR(10) &amp; "• " &amp; 'الجدول'!Q54 &amp; CHAR(10) &amp; CHAR(10) &amp; "■■ " &amp; 'الجدول'!R1 &amp; " ■■" &amp; CHAR(10) &amp; "• " &amp; 'الجدول'!R47 &amp; CHAR(10) &amp; "• " &amp; 'الجدول'!R48 &amp; CHAR(10) &amp; "• " &amp; 'الجدول'!R49 &amp; CHAR(10) &amp; "• " &amp; 'الجدول'!R50 &amp; CHAR(10) &amp; "• " &amp; 'الجدول'!R51 &amp; CHAR(10) &amp; "• " &amp; 'الجدول'!R52 &amp; CHAR(10) &amp; "• " &amp; 'الجدول'!R53 &amp; CHAR(10) &amp; "• " &amp; 'الجدول'!R54 &amp; CHAR(10) &amp; CHAR(10) &amp; "■■ " &amp; 'الجدول'!S1 &amp; " ■■" &amp; CHAR(10) &amp; "• " &amp; 'الجدول'!S47 &amp; CHAR(10) &amp; "• " &amp; 'الجدول'!S48 &amp; CHAR(10) &amp; "• " &amp; 'الجدول'!S49 &amp; CHAR(10) &amp; "• " &amp; 'الجدول'!S50 &amp; CHAR(10) &amp; "• " &amp; 'الجدول'!S51 &amp; CHAR(10) &amp; "• " &amp; 'الجدول'!S52 &amp; CHAR(10) &amp; "• " &amp; 'الجدول'!S53 &amp; CHAR(10) &amp; "• " &amp; 'الجدول'!S54 &amp; CHAR(10) &amp; CHAR(10) &amp; "■■ " &amp; 'الجدول'!T1 &amp; " ■■" &amp; CHAR(10) &amp; "• " &amp; 'الجدول'!T47 &amp; CHAR(10) &amp; "• " &amp; 'الجدول'!T48 &amp; CHAR(10) &amp; "• " &amp; 'الجدول'!T49 &amp; CHAR(10) &amp; "• " &amp; 'الجدول'!T50 &amp; CHAR(10) &amp; "• " &amp; 'الجدول'!T51 &amp; CHAR(10) &amp; "• " &amp; 'الجدول'!T52 &amp; CHAR(10) &amp; "• " &amp; 'الجدول'!T53 &amp; CHAR(10) &amp; "• " &amp; 'الجدول'!T54 &amp; CHAR(10) &amp; CHAR(10) &amp; "■■ " &amp; 'الجدول'!U1 &amp; " ■■" &amp; CHAR(10) &amp; "• " &amp; 'الجدول'!U47 &amp; CHAR(10) &amp; "• " &amp; 'الجدول'!U48 &amp; CHAR(10) &amp; "• " &amp; 'الجدول'!U49 &amp; CHAR(10) &amp; "• " &amp; 'الجدول'!U50 &amp; CHAR(10) &amp; "• " &amp; 'الجدول'!U51 &amp; CHAR(10) &amp; "• " &amp; 'الجدول'!U52 &amp; CHAR(10) &amp; "• " &amp; 'الجدول'!U53 &amp; CHAR(10) &amp; "• " &amp; 'الجدول'!U54 &amp; CHAR(10) &amp; CHAR(10)</f>
        <v>■■ A) DAY CLINIC THEN OPERATIONS ■■
• محمد محمود عبدالسلام
(01152327499)
• ----------
• ----------
• ----------
• ----------
• ----------
• ----------
• ----------
■■ A) NIGHT OPERATIONS ■■
• حازم كرم كرم
(01118280669)
• ----------
• ----------
• ----------
• ----------
• ----------
• ----------
• ----------
■■ B) DAY SENIOR GENERAL ■■
• خالد شريف البجيرمي
(01062857469)
• ----------
• ----------
• ----------
• ----------
• ----------
• ----------
• ----------
■■ B) NIGHT SENIOR GENERAL ■■
• عمر سراج الدين فتحي
(01142862330)
• ----------
• ----------
• ----------
• ----------
• ----------
• ----------
• ----------
■■ C) DAY ADMISSION ■■
• Mona araby sayed
(01102616595)
• ----------
• ----------
• ----------
• ----------
• ----------
• ----------
• ----------
■■ C) NIGHT ADMISSION ■■
• هبة جمال محمد محمد
(01027181761)
• ----------
• ----------
• ----------
• ----------
• ----------
• ----------
• ----------
■■ D) DAY GENERAL ■■
• سارة امين انور
(01212624091)
• فاطمة أحمد درويش
(01093879135)
• فاطِمة حلمي صالح
(01023893860)
• شاهيناز عبدالعزيز محمد
(01062940492)
• سامي ابراهيم علي
(01114713755)
• سلوى نبيل متولي
(01116383438)
• Mohamed lotfy
(01064810610)
• ياسمين زهدي السيد
(01098924963)
■■ D) NIGHT GENERAL ■■
• العوضي أسامة العوضي جراوش
(01144402429)
• Raghad Elhamy
(01116764208)
• عمر محمد أحمد
(01208321212)
• ابراهيم احمد السيد
(01158350951)
• حسام سالم الداعور
(01123835996)
• يمنى جمال فتحي
(01040454689)
• كمال فضل محمد
(01102343017)
• Mahinour Ashraf Soud
(01068470463)
■■ E) DAY SENIOR PT ■■
• ReHab Nasser Khamis
(01159448250)
• ----------
• ----------
• ----------
• ----------
• ----------
• ----------
• ----------
■■ E) NIGHT SENIOR PT ■■
• Beshoy Botros
(01274308491)
• ----------
• ----------
• ----------
• ----------
• ----------
• ----------
• ----------
■■ F) DAY PT ■■
• رحاب يحيي احمد
(01150081936)
• عمر وليد محمد
(01062000026)
• فؤاد أحمد عبدالمنعم
(01091535003)
• رضوى صلاح
(01002301809)
• مروان عبد المقصود نصر
(01272940086)
• أحمد محمد فتحي
(01151513326)
• جهاد محمد السيد
(01011294223)
• ----------
■■ F) NIGHT PT ■■
• عائشة عمرو قرشي
(01002171719)
• تمارا خالد جمال الدين
(01096688868)
• ميار مسعد توفيق
(01153028000)
• منة الله فؤاد القماح
(1013662223)
• محمود سليم عاشور
(01107286243)
• مصطفى رمضان مصطفى
(01274212921)
• احمد رزق
(٠١٠٠٢٣٣٥٤٨٦)
• ----------
■■ G) DAY WARD ■■
• جورج ممدوح
(01207444355)
• محمد علي جادالرب
(01553129877)
• محمد السيد سعد
(01110135622)
• أحمد شعبان أحمد
(01093392523)
• ----------
• ----------
• ----------
• ----------
■■ G) NIGHT WARD ■■
• أحمد محمد أحمد
(01112122129)
• محمد عبد اللاه السيد حامد
(01559004738)
• حازم خالد حسن
(01005673996)
• Nada Mohamed Ahmed
(01141380592)
• ----------
• ----------
• ----------
• ----------
■■ Shift ward 1-8pm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ليستة ■■
• ----------
• ----------
• ----------
• ----------
• ----------
• ----------
• ----------
• ----------
</v>
      </c>
      <c r="C12" s="3" t="str">
        <f>HYPERLINK("#الجدول!A" &amp; 46, "الجدول الأساسي")</f>
        <v>الجدول الأساسي</v>
      </c>
    </row>
    <row r="13">
      <c r="A13" s="1" t="s">
        <v>87</v>
      </c>
      <c r="B13" s="5" t="str">
        <f>"" &amp; "■■ " &amp; 'الجدول'!B1 &amp; " ■■" &amp; CHAR(10) &amp; "• " &amp; 'الجدول'!B55 &amp; CHAR(10) &amp; "• " &amp; 'الجدول'!B56 &amp; CHAR(10) &amp; "• " &amp; 'الجدول'!B57 &amp; CHAR(10) &amp; "• " &amp; 'الجدول'!B58 &amp; CHAR(10) &amp; "• " &amp; 'الجدول'!B59 &amp; CHAR(10) &amp; "• " &amp; 'الجدول'!B60 &amp; CHAR(10) &amp; "• " &amp; 'الجدول'!B61 &amp; CHAR(10) &amp; CHAR(10) &amp; "■■ " &amp; 'الجدول'!C1 &amp; " ■■" &amp; CHAR(10) &amp; "• " &amp; 'الجدول'!C55 &amp; CHAR(10) &amp; "• " &amp; 'الجدول'!C56 &amp; CHAR(10) &amp; "• " &amp; 'الجدول'!C57 &amp; CHAR(10) &amp; "• " &amp; 'الجدول'!C58 &amp; CHAR(10) &amp; "• " &amp; 'الجدول'!C59 &amp; CHAR(10) &amp; "• " &amp; 'الجدول'!C60 &amp; CHAR(10) &amp; "• " &amp; 'الجدول'!C61 &amp; CHAR(10) &amp; CHAR(10) &amp; "■■ " &amp; 'الجدول'!D1 &amp; " ■■" &amp; CHAR(10) &amp; "• " &amp; 'الجدول'!D55 &amp; CHAR(10) &amp; "• " &amp; 'الجدول'!D56 &amp; CHAR(10) &amp; "• " &amp; 'الجدول'!D57 &amp; CHAR(10) &amp; "• " &amp; 'الجدول'!D58 &amp; CHAR(10) &amp; "• " &amp; 'الجدول'!D59 &amp; CHAR(10) &amp; "• " &amp; 'الجدول'!D60 &amp; CHAR(10) &amp; "• " &amp; 'الجدول'!D61 &amp; CHAR(10) &amp; CHAR(10) &amp; "■■ " &amp; 'الجدول'!E1 &amp; " ■■" &amp; CHAR(10) &amp; "• " &amp; 'الجدول'!E55 &amp; CHAR(10) &amp; "• " &amp; 'الجدول'!E56 &amp; CHAR(10) &amp; "• " &amp; 'الجدول'!E57 &amp; CHAR(10) &amp; "• " &amp; 'الجدول'!E58 &amp; CHAR(10) &amp; "• " &amp; 'الجدول'!E59 &amp; CHAR(10) &amp; "• " &amp; 'الجدول'!E60 &amp; CHAR(10) &amp; "• " &amp; 'الجدول'!E61 &amp; CHAR(10) &amp; CHAR(10) &amp; "■■ " &amp; 'الجدول'!F1 &amp; " ■■" &amp; CHAR(10) &amp; "• " &amp; 'الجدول'!F55 &amp; CHAR(10) &amp; "• " &amp; 'الجدول'!F56 &amp; CHAR(10) &amp; "• " &amp; 'الجدول'!F57 &amp; CHAR(10) &amp; "• " &amp; 'الجدول'!F58 &amp; CHAR(10) &amp; "• " &amp; 'الجدول'!F59 &amp; CHAR(10) &amp; "• " &amp; 'الجدول'!F60 &amp; CHAR(10) &amp; "• " &amp; 'الجدول'!F61 &amp; CHAR(10) &amp; CHAR(10) &amp; "■■ " &amp; 'الجدول'!G1 &amp; " ■■" &amp; CHAR(10) &amp; "• " &amp; 'الجدول'!G55 &amp; CHAR(10) &amp; "• " &amp; 'الجدول'!G56 &amp; CHAR(10) &amp; "• " &amp; 'الجدول'!G57 &amp; CHAR(10) &amp; "• " &amp; 'الجدول'!G58 &amp; CHAR(10) &amp; "• " &amp; 'الجدول'!G59 &amp; CHAR(10) &amp; "• " &amp; 'الجدول'!G60 &amp; CHAR(10) &amp; "• " &amp; 'الجدول'!G61 &amp; CHAR(10) &amp; CHAR(10) &amp; "■■ " &amp; 'الجدول'!H1 &amp; " ■■" &amp; CHAR(10) &amp; "• " &amp; 'الجدول'!H55 &amp; CHAR(10) &amp; "• " &amp; 'الجدول'!H56 &amp; CHAR(10) &amp; "• " &amp; 'الجدول'!H57 &amp; CHAR(10) &amp; "• " &amp; 'الجدول'!H58 &amp; CHAR(10) &amp; "• " &amp; 'الجدول'!H59 &amp; CHAR(10) &amp; "• " &amp; 'الجدول'!H60 &amp; CHAR(10) &amp; "• " &amp; 'الجدول'!H61 &amp; CHAR(10) &amp; CHAR(10) &amp; "■■ " &amp; 'الجدول'!I1 &amp; " ■■" &amp; CHAR(10) &amp; "• " &amp; 'الجدول'!I55 &amp; CHAR(10) &amp; "• " &amp; 'الجدول'!I56 &amp; CHAR(10) &amp; "• " &amp; 'الجدول'!I57 &amp; CHAR(10) &amp; "• " &amp; 'الجدول'!I58 &amp; CHAR(10) &amp; "• " &amp; 'الجدول'!I59 &amp; CHAR(10) &amp; "• " &amp; 'الجدول'!I60 &amp; CHAR(10) &amp; "• " &amp; 'الجدول'!I61 &amp; CHAR(10) &amp; CHAR(10) &amp; "■■ " &amp; 'الجدول'!J1 &amp; " ■■" &amp; CHAR(10) &amp; "• " &amp; 'الجدول'!J55 &amp; CHAR(10) &amp; "• " &amp; 'الجدول'!J56 &amp; CHAR(10) &amp; "• " &amp; 'الجدول'!J57 &amp; CHAR(10) &amp; "• " &amp; 'الجدول'!J58 &amp; CHAR(10) &amp; "• " &amp; 'الجدول'!J59 &amp; CHAR(10) &amp; "• " &amp; 'الجدول'!J60 &amp; CHAR(10) &amp; "• " &amp; 'الجدول'!J61 &amp; CHAR(10) &amp; CHAR(10) &amp; "■■ " &amp; 'الجدول'!K1 &amp; " ■■" &amp; CHAR(10) &amp; "• " &amp; 'الجدول'!K55 &amp; CHAR(10) &amp; "• " &amp; 'الجدول'!K56 &amp; CHAR(10) &amp; "• " &amp; 'الجدول'!K57 &amp; CHAR(10) &amp; "• " &amp; 'الجدول'!K58 &amp; CHAR(10) &amp; "• " &amp; 'الجدول'!K59 &amp; CHAR(10) &amp; "• " &amp; 'الجدول'!K60 &amp; CHAR(10) &amp; "• " &amp; 'الجدول'!K61 &amp; CHAR(10) &amp; CHAR(10) &amp; "■■ " &amp; 'الجدول'!L1 &amp; " ■■" &amp; CHAR(10) &amp; "• " &amp; 'الجدول'!L55 &amp; CHAR(10) &amp; "• " &amp; 'الجدول'!L56 &amp; CHAR(10) &amp; "• " &amp; 'الجدول'!L57 &amp; CHAR(10) &amp; "• " &amp; 'الجدول'!L58 &amp; CHAR(10) &amp; "• " &amp; 'الجدول'!L59 &amp; CHAR(10) &amp; "• " &amp; 'الجدول'!L60 &amp; CHAR(10) &amp; "• " &amp; 'الجدول'!L61 &amp; CHAR(10) &amp; CHAR(10) &amp; "■■ " &amp; 'الجدول'!M1 &amp; " ■■" &amp; CHAR(10) &amp; "• " &amp; 'الجدول'!M55 &amp; CHAR(10) &amp; "• " &amp; 'الجدول'!M56 &amp; CHAR(10) &amp; "• " &amp; 'الجدول'!M57 &amp; CHAR(10) &amp; "• " &amp; 'الجدول'!M58 &amp; CHAR(10) &amp; "• " &amp; 'الجدول'!M59 &amp; CHAR(10) &amp; "• " &amp; 'الجدول'!M60 &amp; CHAR(10) &amp; "• " &amp; 'الجدول'!M61 &amp; CHAR(10) &amp; CHAR(10) &amp; "■■ " &amp; 'الجدول'!N1 &amp; " ■■" &amp; CHAR(10) &amp; "• " &amp; 'الجدول'!N55 &amp; CHAR(10) &amp; "• " &amp; 'الجدول'!N56 &amp; CHAR(10) &amp; "• " &amp; 'الجدول'!N57 &amp; CHAR(10) &amp; "• " &amp; 'الجدول'!N58 &amp; CHAR(10) &amp; "• " &amp; 'الجدول'!N59 &amp; CHAR(10) &amp; "• " &amp; 'الجدول'!N60 &amp; CHAR(10) &amp; "• " &amp; 'الجدول'!N61 &amp; CHAR(10) &amp; CHAR(10) &amp; "■■ " &amp; 'الجدول'!O1 &amp; " ■■" &amp; CHAR(10) &amp; "• " &amp; 'الجدول'!O55 &amp; CHAR(10) &amp; "• " &amp; 'الجدول'!O56 &amp; CHAR(10) &amp; "• " &amp; 'الجدول'!O57 &amp; CHAR(10) &amp; "• " &amp; 'الجدول'!O58 &amp; CHAR(10) &amp; "• " &amp; 'الجدول'!O59 &amp; CHAR(10) &amp; "• " &amp; 'الجدول'!O60 &amp; CHAR(10) &amp; "• " &amp; 'الجدول'!O61 &amp; CHAR(10) &amp; CHAR(10) &amp; "■■ " &amp; 'الجدول'!P1 &amp; " ■■" &amp; CHAR(10) &amp; "• " &amp; 'الجدول'!P55 &amp; CHAR(10) &amp; "• " &amp; 'الجدول'!P56 &amp; CHAR(10) &amp; "• " &amp; 'الجدول'!P57 &amp; CHAR(10) &amp; "• " &amp; 'الجدول'!P58 &amp; CHAR(10) &amp; "• " &amp; 'الجدول'!P59 &amp; CHAR(10) &amp; "• " &amp; 'الجدول'!P60 &amp; CHAR(10) &amp; "• " &amp; 'الجدول'!P61 &amp; CHAR(10) &amp; CHAR(10) &amp; "■■ " &amp; 'الجدول'!Q1 &amp; " ■■" &amp; CHAR(10) &amp; "• " &amp; 'الجدول'!Q55 &amp; CHAR(10) &amp; "• " &amp; 'الجدول'!Q56 &amp; CHAR(10) &amp; "• " &amp; 'الجدول'!Q57 &amp; CHAR(10) &amp; "• " &amp; 'الجدول'!Q58 &amp; CHAR(10) &amp; "• " &amp; 'الجدول'!Q59 &amp; CHAR(10) &amp; "• " &amp; 'الجدول'!Q60 &amp; CHAR(10) &amp; "• " &amp; 'الجدول'!Q61 &amp; CHAR(10) &amp; CHAR(10) &amp; "■■ " &amp; 'الجدول'!R1 &amp; " ■■" &amp; CHAR(10) &amp; "• " &amp; 'الجدول'!R55 &amp; CHAR(10) &amp; "• " &amp; 'الجدول'!R56 &amp; CHAR(10) &amp; "• " &amp; 'الجدول'!R57 &amp; CHAR(10) &amp; "• " &amp; 'الجدول'!R58 &amp; CHAR(10) &amp; "• " &amp; 'الجدول'!R59 &amp; CHAR(10) &amp; "• " &amp; 'الجدول'!R60 &amp; CHAR(10) &amp; "• " &amp; 'الجدول'!R61 &amp; CHAR(10) &amp; CHAR(10) &amp; "■■ " &amp; 'الجدول'!S1 &amp; " ■■" &amp; CHAR(10) &amp; "• " &amp; 'الجدول'!S55 &amp; CHAR(10) &amp; "• " &amp; 'الجدول'!S56 &amp; CHAR(10) &amp; "• " &amp; 'الجدول'!S57 &amp; CHAR(10) &amp; "• " &amp; 'الجدول'!S58 &amp; CHAR(10) &amp; "• " &amp; 'الجدول'!S59 &amp; CHAR(10) &amp; "• " &amp; 'الجدول'!S60 &amp; CHAR(10) &amp; "• " &amp; 'الجدول'!S61 &amp; CHAR(10) &amp; CHAR(10) &amp; "■■ " &amp; 'الجدول'!T1 &amp; " ■■" &amp; CHAR(10) &amp; "• " &amp; 'الجدول'!T55 &amp; CHAR(10) &amp; "• " &amp; 'الجدول'!T56 &amp; CHAR(10) &amp; "• " &amp; 'الجدول'!T57 &amp; CHAR(10) &amp; "• " &amp; 'الجدول'!T58 &amp; CHAR(10) &amp; "• " &amp; 'الجدول'!T59 &amp; CHAR(10) &amp; "• " &amp; 'الجدول'!T60 &amp; CHAR(10) &amp; "• " &amp; 'الجدول'!T61 &amp; CHAR(10) &amp; CHAR(10) &amp; "■■ " &amp; 'الجدول'!U1 &amp; " ■■" &amp; CHAR(10) &amp; "• " &amp; 'الجدول'!U55 &amp; CHAR(10) &amp; "• " &amp; 'الجدول'!U56 &amp; CHAR(10) &amp; "• " &amp; 'الجدول'!U57 &amp; CHAR(10) &amp; "• " &amp; 'الجدول'!U58 &amp; CHAR(10) &amp; "• " &amp; 'الجدول'!U59 &amp; CHAR(10) &amp; "• " &amp; 'الجدول'!U60 &amp; CHAR(10) &amp; "• " &amp; 'الجدول'!U61 &amp; CHAR(10) &amp; CHAR(10)</f>
        <v>■■ A) DAY CLINIC THEN OPERATIONS ■■
• ----------
• ----------
• ----------
• ----------
• ----------
• ----------
• ----------
■■ A) NIGHT OPERATIONS ■■
• ----------
• ----------
• ----------
• ----------
• ----------
• ----------
• ----------
■■ B) DAY SENIOR GENERAL ■■
• ----------
• ----------
• ----------
• ----------
• ----------
• ----------
• ----------
■■ B) NIGHT SENIOR GENERAL ■■
• ----------
• ----------
• ----------
• ----------
• ----------
• ----------
• ----------
■■ C) DAY ADMISSION ■■
• ----------
• ----------
• ----------
• ----------
• ----------
• ----------
• ----------
■■ C) NIGHT ADMISSION ■■
• ----------
• ----------
• ----------
• ----------
• ----------
• ----------
• ----------
■■ D) DAY GENERAL ■■
• ----------
• ----------
• ----------
• ----------
• ----------
• ----------
• ----------
■■ D) NIGHT GENERAL ■■
• ----------
• ----------
• ----------
• ----------
• ----------
• ----------
• ----------
■■ E) DAY SENIOR PT ■■
• ----------
• ----------
• ----------
• ----------
• ----------
• ----------
• ----------
■■ E) NIGHT SENIOR PT ■■
• ----------
• ----------
• ----------
• ----------
• ----------
• ----------
• ----------
■■ F) DAY PT ■■
• ----------
• ----------
• ----------
• ----------
• ----------
• ----------
• ----------
■■ F) NIGHT PT ■■
• ----------
• ----------
• ----------
• ----------
• ----------
• ----------
• ----------
■■ G) DAY WARD ■■
• ----------
• ----------
• ----------
• ----------
• ----------
• ----------
• ----------
■■ G) NIGHT WARD ■■
• ----------
• ----------
• ----------
• ----------
• ----------
• ----------
• ----------
■■ Shift ward 1-8pm ■■
• ----------
• ----------
• ----------
• ----------
• ----------
• ----------
• ----------
■■ شيفت صباحى ■■
• خالد شريف البجيرمي
(01062857469)
• Hasnaa gamal
(01111693084)
• رضوى صلاح
(01002301809)
• عمر وليد محمد
(01062000026)
• ياسمين زهدي السيد
(01098924963)
• Mohamed lotfy
(01064810610)
• هبه محمد نجيب
(01507093786)
■■ شيفت صباحى ■■
• ----------
• ----------
• ----------
• ----------
• ----------
• ----------
• ----------
■■ شيفت مسائى ■■
• نورهان ياسر عبدالمعز
(01063257329)
• محمد محمود عبدالسلام
(01152327499)
• أحمد شعبان أحمد
(01093392523)
• أحمد محمد فتحي
(01151513326)
• ----------
• ----------
• ----------
■■ شيفت مسائى ■■
• ----------
• ----------
• ----------
• ----------
• ----------
• ----------
• ----------
■■ ليستة ■■
• ----------
• ----------
• ----------
• ----------
• ----------
• ----------
• ----------
</v>
      </c>
      <c r="C13" s="3" t="str">
        <f>HYPERLINK("#الجدول!A" &amp; 54, "الجدول الأساسي")</f>
        <v>الجدول الأساسي</v>
      </c>
    </row>
    <row r="14">
      <c r="A14" s="1" t="s">
        <v>89</v>
      </c>
      <c r="B14" s="5" t="str">
        <f>"" &amp; "■■ " &amp; 'الجدول'!B1 &amp; " ■■" &amp; CHAR(10) &amp; "• " &amp; 'الجدول'!B62 &amp; CHAR(10) &amp; "• " &amp; 'الجدول'!B63 &amp; CHAR(10) &amp; "• " &amp; 'الجدول'!B64 &amp; CHAR(10) &amp; "• " &amp; 'الجدول'!B65 &amp; CHAR(10) &amp; CHAR(10) &amp; "■■ " &amp; 'الجدول'!C1 &amp; " ■■" &amp; CHAR(10) &amp; "• " &amp; 'الجدول'!C62 &amp; CHAR(10) &amp; "• " &amp; 'الجدول'!C63 &amp; CHAR(10) &amp; "• " &amp; 'الجدول'!C64 &amp; CHAR(10) &amp; "• " &amp; 'الجدول'!C65 &amp; CHAR(10) &amp; CHAR(10) &amp; "■■ " &amp; 'الجدول'!D1 &amp; " ■■" &amp; CHAR(10) &amp; "• " &amp; 'الجدول'!D62 &amp; CHAR(10) &amp; "• " &amp; 'الجدول'!D63 &amp; CHAR(10) &amp; "• " &amp; 'الجدول'!D64 &amp; CHAR(10) &amp; "• " &amp; 'الجدول'!D65 &amp; CHAR(10) &amp; CHAR(10) &amp; "■■ " &amp; 'الجدول'!E1 &amp; " ■■" &amp; CHAR(10) &amp; "• " &amp; 'الجدول'!E62 &amp; CHAR(10) &amp; "• " &amp; 'الجدول'!E63 &amp; CHAR(10) &amp; "• " &amp; 'الجدول'!E64 &amp; CHAR(10) &amp; "• " &amp; 'الجدول'!E65 &amp; CHAR(10) &amp; CHAR(10) &amp; "■■ " &amp; 'الجدول'!F1 &amp; " ■■" &amp; CHAR(10) &amp; "• " &amp; 'الجدول'!F62 &amp; CHAR(10) &amp; "• " &amp; 'الجدول'!F63 &amp; CHAR(10) &amp; "• " &amp; 'الجدول'!F64 &amp; CHAR(10) &amp; "• " &amp; 'الجدول'!F65 &amp; CHAR(10) &amp; CHAR(10) &amp; "■■ " &amp; 'الجدول'!G1 &amp; " ■■" &amp; CHAR(10) &amp; "• " &amp; 'الجدول'!G62 &amp; CHAR(10) &amp; "• " &amp; 'الجدول'!G63 &amp; CHAR(10) &amp; "• " &amp; 'الجدول'!G64 &amp; CHAR(10) &amp; "• " &amp; 'الجدول'!G65 &amp; CHAR(10) &amp; CHAR(10) &amp; "■■ " &amp; 'الجدول'!H1 &amp; " ■■" &amp; CHAR(10) &amp; "• " &amp; 'الجدول'!H62 &amp; CHAR(10) &amp; "• " &amp; 'الجدول'!H63 &amp; CHAR(10) &amp; "• " &amp; 'الجدول'!H64 &amp; CHAR(10) &amp; "• " &amp; 'الجدول'!H65 &amp; CHAR(10) &amp; CHAR(10) &amp; "■■ " &amp; 'الجدول'!I1 &amp; " ■■" &amp; CHAR(10) &amp; "• " &amp; 'الجدول'!I62 &amp; CHAR(10) &amp; "• " &amp; 'الجدول'!I63 &amp; CHAR(10) &amp; "• " &amp; 'الجدول'!I64 &amp; CHAR(10) &amp; "• " &amp; 'الجدول'!I65 &amp; CHAR(10) &amp; CHAR(10) &amp; "■■ " &amp; 'الجدول'!J1 &amp; " ■■" &amp; CHAR(10) &amp; "• " &amp; 'الجدول'!J62 &amp; CHAR(10) &amp; "• " &amp; 'الجدول'!J63 &amp; CHAR(10) &amp; "• " &amp; 'الجدول'!J64 &amp; CHAR(10) &amp; "• " &amp; 'الجدول'!J65 &amp; CHAR(10) &amp; CHAR(10) &amp; "■■ " &amp; 'الجدول'!K1 &amp; " ■■" &amp; CHAR(10) &amp; "• " &amp; 'الجدول'!K62 &amp; CHAR(10) &amp; "• " &amp; 'الجدول'!K63 &amp; CHAR(10) &amp; "• " &amp; 'الجدول'!K64 &amp; CHAR(10) &amp; "• " &amp; 'الجدول'!K65 &amp; CHAR(10) &amp; CHAR(10) &amp; "■■ " &amp; 'الجدول'!L1 &amp; " ■■" &amp; CHAR(10) &amp; "• " &amp; 'الجدول'!L62 &amp; CHAR(10) &amp; "• " &amp; 'الجدول'!L63 &amp; CHAR(10) &amp; "• " &amp; 'الجدول'!L64 &amp; CHAR(10) &amp; "• " &amp; 'الجدول'!L65 &amp; CHAR(10) &amp; CHAR(10) &amp; "■■ " &amp; 'الجدول'!M1 &amp; " ■■" &amp; CHAR(10) &amp; "• " &amp; 'الجدول'!M62 &amp; CHAR(10) &amp; "• " &amp; 'الجدول'!M63 &amp; CHAR(10) &amp; "• " &amp; 'الجدول'!M64 &amp; CHAR(10) &amp; "• " &amp; 'الجدول'!M65 &amp; CHAR(10) &amp; CHAR(10) &amp; "■■ " &amp; 'الجدول'!N1 &amp; " ■■" &amp; CHAR(10) &amp; "• " &amp; 'الجدول'!N62 &amp; CHAR(10) &amp; "• " &amp; 'الجدول'!N63 &amp; CHAR(10) &amp; "• " &amp; 'الجدول'!N64 &amp; CHAR(10) &amp; "• " &amp; 'الجدول'!N65 &amp; CHAR(10) &amp; CHAR(10) &amp; "■■ " &amp; 'الجدول'!O1 &amp; " ■■" &amp; CHAR(10) &amp; "• " &amp; 'الجدول'!O62 &amp; CHAR(10) &amp; "• " &amp; 'الجدول'!O63 &amp; CHAR(10) &amp; "• " &amp; 'الجدول'!O64 &amp; CHAR(10) &amp; "• " &amp; 'الجدول'!O65 &amp; CHAR(10) &amp; CHAR(10) &amp; "■■ " &amp; 'الجدول'!P1 &amp; " ■■" &amp; CHAR(10) &amp; "• " &amp; 'الجدول'!P62 &amp; CHAR(10) &amp; "• " &amp; 'الجدول'!P63 &amp; CHAR(10) &amp; "• " &amp; 'الجدول'!P64 &amp; CHAR(10) &amp; "• " &amp; 'الجدول'!P65 &amp; CHAR(10) &amp; CHAR(10) &amp; "■■ " &amp; 'الجدول'!Q1 &amp; " ■■" &amp; CHAR(10) &amp; "• " &amp; 'الجدول'!Q62 &amp; CHAR(10) &amp; "• " &amp; 'الجدول'!Q63 &amp; CHAR(10) &amp; "• " &amp; 'الجدول'!Q64 &amp; CHAR(10) &amp; "• " &amp; 'الجدول'!Q65 &amp; CHAR(10) &amp; CHAR(10) &amp; "■■ " &amp; 'الجدول'!R1 &amp; " ■■" &amp; CHAR(10) &amp; "• " &amp; 'الجدول'!R62 &amp; CHAR(10) &amp; "• " &amp; 'الجدول'!R63 &amp; CHAR(10) &amp; "• " &amp; 'الجدول'!R64 &amp; CHAR(10) &amp; "• " &amp; 'الجدول'!R65 &amp; CHAR(10) &amp; CHAR(10) &amp; "■■ " &amp; 'الجدول'!S1 &amp; " ■■" &amp; CHAR(10) &amp; "• " &amp; 'الجدول'!S62 &amp; CHAR(10) &amp; "• " &amp; 'الجدول'!S63 &amp; CHAR(10) &amp; "• " &amp; 'الجدول'!S64 &amp; CHAR(10) &amp; "• " &amp; 'الجدول'!S65 &amp; CHAR(10) &amp; CHAR(10) &amp; "■■ " &amp; 'الجدول'!T1 &amp; " ■■" &amp; CHAR(10) &amp; "• " &amp; 'الجدول'!T62 &amp; CHAR(10) &amp; "• " &amp; 'الجدول'!T63 &amp; CHAR(10) &amp; "• " &amp; 'الجدول'!T64 &amp; CHAR(10) &amp; "• " &amp; 'الجدول'!T65 &amp; CHAR(10) &amp; CHAR(10) &amp; "■■ " &amp; 'الجدول'!U1 &amp; " ■■" &amp; CHAR(10) &amp; "• " &amp; 'الجدول'!U62 &amp; CHAR(10) &amp; "• " &amp; 'الجدول'!U63 &amp; CHAR(10) &amp; "• " &amp; 'الجدول'!U64 &amp; CHAR(10) &amp; "• " &amp; 'الجدول'!U65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----------
• ----------
• ----------
• ----------
■■ شيفت صباحى ■■
• حازم كرم كرم
(01118280669)
• شاهيناز عبدالعزيز محمد
(01062940492)
• فاطِمة حلمي صالح
(01023893860)
• Raghad Elhamy
(01116764208)
■■ شيفت مسائى ■■
• ----------
• ----------
• ----------
• ----------
■■ شيفت مسائى ■■
• العوضي أسامة العوضي جراوش
(01144402429)
• جهاد محمد السيد
(01011294223)
• يمنى جمال فتحي
(01040454689)
• ----------
■■ ليستة ■■
• ----------
• ----------
• ----------
• ----------
</v>
      </c>
      <c r="C14" s="3" t="str">
        <f>HYPERLINK("#الجدول!A" &amp; 61, "الجدول الأساسي")</f>
        <v>الجدول الأساسي</v>
      </c>
    </row>
    <row r="15">
      <c r="A15" s="1" t="s">
        <v>90</v>
      </c>
      <c r="B15" s="5" t="str">
        <f>"" &amp; "■■ " &amp; 'الجدول'!B1 &amp; " ■■" &amp; CHAR(10) &amp; "• " &amp; 'الجدول'!B66 &amp; CHAR(10) &amp; "• " &amp; 'الجدول'!B67 &amp; CHAR(10) &amp; "• " &amp; 'الجدول'!B68 &amp; CHAR(10) &amp; "• " &amp; 'الجدول'!B69 &amp; CHAR(10) &amp; CHAR(10) &amp; "■■ " &amp; 'الجدول'!C1 &amp; " ■■" &amp; CHAR(10) &amp; "• " &amp; 'الجدول'!C66 &amp; CHAR(10) &amp; "• " &amp; 'الجدول'!C67 &amp; CHAR(10) &amp; "• " &amp; 'الجدول'!C68 &amp; CHAR(10) &amp; "• " &amp; 'الجدول'!C69 &amp; CHAR(10) &amp; CHAR(10) &amp; "■■ " &amp; 'الجدول'!D1 &amp; " ■■" &amp; CHAR(10) &amp; "• " &amp; 'الجدول'!D66 &amp; CHAR(10) &amp; "• " &amp; 'الجدول'!D67 &amp; CHAR(10) &amp; "• " &amp; 'الجدول'!D68 &amp; CHAR(10) &amp; "• " &amp; 'الجدول'!D69 &amp; CHAR(10) &amp; CHAR(10) &amp; "■■ " &amp; 'الجدول'!E1 &amp; " ■■" &amp; CHAR(10) &amp; "• " &amp; 'الجدول'!E66 &amp; CHAR(10) &amp; "• " &amp; 'الجدول'!E67 &amp; CHAR(10) &amp; "• " &amp; 'الجدول'!E68 &amp; CHAR(10) &amp; "• " &amp; 'الجدول'!E69 &amp; CHAR(10) &amp; CHAR(10) &amp; "■■ " &amp; 'الجدول'!F1 &amp; " ■■" &amp; CHAR(10) &amp; "• " &amp; 'الجدول'!F66 &amp; CHAR(10) &amp; "• " &amp; 'الجدول'!F67 &amp; CHAR(10) &amp; "• " &amp; 'الجدول'!F68 &amp; CHAR(10) &amp; "• " &amp; 'الجدول'!F69 &amp; CHAR(10) &amp; CHAR(10) &amp; "■■ " &amp; 'الجدول'!G1 &amp; " ■■" &amp; CHAR(10) &amp; "• " &amp; 'الجدول'!G66 &amp; CHAR(10) &amp; "• " &amp; 'الجدول'!G67 &amp; CHAR(10) &amp; "• " &amp; 'الجدول'!G68 &amp; CHAR(10) &amp; "• " &amp; 'الجدول'!G69 &amp; CHAR(10) &amp; CHAR(10) &amp; "■■ " &amp; 'الجدول'!H1 &amp; " ■■" &amp; CHAR(10) &amp; "• " &amp; 'الجدول'!H66 &amp; CHAR(10) &amp; "• " &amp; 'الجدول'!H67 &amp; CHAR(10) &amp; "• " &amp; 'الجدول'!H68 &amp; CHAR(10) &amp; "• " &amp; 'الجدول'!H69 &amp; CHAR(10) &amp; CHAR(10) &amp; "■■ " &amp; 'الجدول'!I1 &amp; " ■■" &amp; CHAR(10) &amp; "• " &amp; 'الجدول'!I66 &amp; CHAR(10) &amp; "• " &amp; 'الجدول'!I67 &amp; CHAR(10) &amp; "• " &amp; 'الجدول'!I68 &amp; CHAR(10) &amp; "• " &amp; 'الجدول'!I69 &amp; CHAR(10) &amp; CHAR(10) &amp; "■■ " &amp; 'الجدول'!J1 &amp; " ■■" &amp; CHAR(10) &amp; "• " &amp; 'الجدول'!J66 &amp; CHAR(10) &amp; "• " &amp; 'الجدول'!J67 &amp; CHAR(10) &amp; "• " &amp; 'الجدول'!J68 &amp; CHAR(10) &amp; "• " &amp; 'الجدول'!J69 &amp; CHAR(10) &amp; CHAR(10) &amp; "■■ " &amp; 'الجدول'!K1 &amp; " ■■" &amp; CHAR(10) &amp; "• " &amp; 'الجدول'!K66 &amp; CHAR(10) &amp; "• " &amp; 'الجدول'!K67 &amp; CHAR(10) &amp; "• " &amp; 'الجدول'!K68 &amp; CHAR(10) &amp; "• " &amp; 'الجدول'!K69 &amp; CHAR(10) &amp; CHAR(10) &amp; "■■ " &amp; 'الجدول'!L1 &amp; " ■■" &amp; CHAR(10) &amp; "• " &amp; 'الجدول'!L66 &amp; CHAR(10) &amp; "• " &amp; 'الجدول'!L67 &amp; CHAR(10) &amp; "• " &amp; 'الجدول'!L68 &amp; CHAR(10) &amp; "• " &amp; 'الجدول'!L69 &amp; CHAR(10) &amp; CHAR(10) &amp; "■■ " &amp; 'الجدول'!M1 &amp; " ■■" &amp; CHAR(10) &amp; "• " &amp; 'الجدول'!M66 &amp; CHAR(10) &amp; "• " &amp; 'الجدول'!M67 &amp; CHAR(10) &amp; "• " &amp; 'الجدول'!M68 &amp; CHAR(10) &amp; "• " &amp; 'الجدول'!M69 &amp; CHAR(10) &amp; CHAR(10) &amp; "■■ " &amp; 'الجدول'!N1 &amp; " ■■" &amp; CHAR(10) &amp; "• " &amp; 'الجدول'!N66 &amp; CHAR(10) &amp; "• " &amp; 'الجدول'!N67 &amp; CHAR(10) &amp; "• " &amp; 'الجدول'!N68 &amp; CHAR(10) &amp; "• " &amp; 'الجدول'!N69 &amp; CHAR(10) &amp; CHAR(10) &amp; "■■ " &amp; 'الجدول'!O1 &amp; " ■■" &amp; CHAR(10) &amp; "• " &amp; 'الجدول'!O66 &amp; CHAR(10) &amp; "• " &amp; 'الجدول'!O67 &amp; CHAR(10) &amp; "• " &amp; 'الجدول'!O68 &amp; CHAR(10) &amp; "• " &amp; 'الجدول'!O69 &amp; CHAR(10) &amp; CHAR(10) &amp; "■■ " &amp; 'الجدول'!P1 &amp; " ■■" &amp; CHAR(10) &amp; "• " &amp; 'الجدول'!P66 &amp; CHAR(10) &amp; "• " &amp; 'الجدول'!P67 &amp; CHAR(10) &amp; "• " &amp; 'الجدول'!P68 &amp; CHAR(10) &amp; "• " &amp; 'الجدول'!P69 &amp; CHAR(10) &amp; CHAR(10) &amp; "■■ " &amp; 'الجدول'!Q1 &amp; " ■■" &amp; CHAR(10) &amp; "• " &amp; 'الجدول'!Q66 &amp; CHAR(10) &amp; "• " &amp; 'الجدول'!Q67 &amp; CHAR(10) &amp; "• " &amp; 'الجدول'!Q68 &amp; CHAR(10) &amp; "• " &amp; 'الجدول'!Q69 &amp; CHAR(10) &amp; CHAR(10) &amp; "■■ " &amp; 'الجدول'!R1 &amp; " ■■" &amp; CHAR(10) &amp; "• " &amp; 'الجدول'!R66 &amp; CHAR(10) &amp; "• " &amp; 'الجدول'!R67 &amp; CHAR(10) &amp; "• " &amp; 'الجدول'!R68 &amp; CHAR(10) &amp; "• " &amp; 'الجدول'!R69 &amp; CHAR(10) &amp; CHAR(10) &amp; "■■ " &amp; 'الجدول'!S1 &amp; " ■■" &amp; CHAR(10) &amp; "• " &amp; 'الجدول'!S66 &amp; CHAR(10) &amp; "• " &amp; 'الجدول'!S67 &amp; CHAR(10) &amp; "• " &amp; 'الجدول'!S68 &amp; CHAR(10) &amp; "• " &amp; 'الجدول'!S69 &amp; CHAR(10) &amp; CHAR(10) &amp; "■■ " &amp; 'الجدول'!T1 &amp; " ■■" &amp; CHAR(10) &amp; "• " &amp; 'الجدول'!T66 &amp; CHAR(10) &amp; "• " &amp; 'الجدول'!T67 &amp; CHAR(10) &amp; "• " &amp; 'الجدول'!T68 &amp; CHAR(10) &amp; "• " &amp; 'الجدول'!T69 &amp; CHAR(10) &amp; CHAR(10) &amp; "■■ " &amp; 'الجدول'!U1 &amp; " ■■" &amp; CHAR(10) &amp; "• " &amp; 'الجدول'!U66 &amp; CHAR(10) &amp; "• " &amp; 'الجدول'!U67 &amp; CHAR(10) &amp; "• " &amp; 'الجدول'!U68 &amp; CHAR(10) &amp; "• " &amp; 'الجدول'!U69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ناتالي هاني
(01202965506)
• Mona araby sayed
(01102616595)
• ياسمين زهدي السيد
(01098924963)
• حازم كرم كرم
(01118280669)
■■ شيفت صباحى ■■
• ----------
• ----------
• ----------
• ----------
■■ شيفت مسائى ■■
• محمد عبد اللاه السيد حامد
(01559004738)
• سامي ابراهيم علي
(01114713755)
• العوضي أسامة العوضي جراوش
(01144402429)
• ----------
■■ شيفت مسائى ■■
• ----------
• ----------
• ----------
• ----------
■■ ليستة ■■
• ----------
• ----------
• ----------
• ----------
</v>
      </c>
      <c r="C15" s="3" t="str">
        <f>HYPERLINK("#الجدول!A" &amp; 65, "الجدول الأساسي")</f>
        <v>الجدول الأساسي</v>
      </c>
    </row>
    <row r="16">
      <c r="A16" s="1" t="s">
        <v>91</v>
      </c>
      <c r="B16" s="5" t="str">
        <f>"" &amp; "■■ " &amp; 'الجدول'!B1 &amp; " ■■" &amp; CHAR(10) &amp; "• " &amp; 'الجدول'!B70 &amp; CHAR(10) &amp; "• " &amp; 'الجدول'!B71 &amp; CHAR(10) &amp; "• " &amp; 'الجدول'!B72 &amp; CHAR(10) &amp; "• " &amp; 'الجدول'!B73 &amp; CHAR(10) &amp; CHAR(10) &amp; "■■ " &amp; 'الجدول'!C1 &amp; " ■■" &amp; CHAR(10) &amp; "• " &amp; 'الجدول'!C70 &amp; CHAR(10) &amp; "• " &amp; 'الجدول'!C71 &amp; CHAR(10) &amp; "• " &amp; 'الجدول'!C72 &amp; CHAR(10) &amp; "• " &amp; 'الجدول'!C73 &amp; CHAR(10) &amp; CHAR(10) &amp; "■■ " &amp; 'الجدول'!D1 &amp; " ■■" &amp; CHAR(10) &amp; "• " &amp; 'الجدول'!D70 &amp; CHAR(10) &amp; "• " &amp; 'الجدول'!D71 &amp; CHAR(10) &amp; "• " &amp; 'الجدول'!D72 &amp; CHAR(10) &amp; "• " &amp; 'الجدول'!D73 &amp; CHAR(10) &amp; CHAR(10) &amp; "■■ " &amp; 'الجدول'!E1 &amp; " ■■" &amp; CHAR(10) &amp; "• " &amp; 'الجدول'!E70 &amp; CHAR(10) &amp; "• " &amp; 'الجدول'!E71 &amp; CHAR(10) &amp; "• " &amp; 'الجدول'!E72 &amp; CHAR(10) &amp; "• " &amp; 'الجدول'!E73 &amp; CHAR(10) &amp; CHAR(10) &amp; "■■ " &amp; 'الجدول'!F1 &amp; " ■■" &amp; CHAR(10) &amp; "• " &amp; 'الجدول'!F70 &amp; CHAR(10) &amp; "• " &amp; 'الجدول'!F71 &amp; CHAR(10) &amp; "• " &amp; 'الجدول'!F72 &amp; CHAR(10) &amp; "• " &amp; 'الجدول'!F73 &amp; CHAR(10) &amp; CHAR(10) &amp; "■■ " &amp; 'الجدول'!G1 &amp; " ■■" &amp; CHAR(10) &amp; "• " &amp; 'الجدول'!G70 &amp; CHAR(10) &amp; "• " &amp; 'الجدول'!G71 &amp; CHAR(10) &amp; "• " &amp; 'الجدول'!G72 &amp; CHAR(10) &amp; "• " &amp; 'الجدول'!G73 &amp; CHAR(10) &amp; CHAR(10) &amp; "■■ " &amp; 'الجدول'!H1 &amp; " ■■" &amp; CHAR(10) &amp; "• " &amp; 'الجدول'!H70 &amp; CHAR(10) &amp; "• " &amp; 'الجدول'!H71 &amp; CHAR(10) &amp; "• " &amp; 'الجدول'!H72 &amp; CHAR(10) &amp; "• " &amp; 'الجدول'!H73 &amp; CHAR(10) &amp; CHAR(10) &amp; "■■ " &amp; 'الجدول'!I1 &amp; " ■■" &amp; CHAR(10) &amp; "• " &amp; 'الجدول'!I70 &amp; CHAR(10) &amp; "• " &amp; 'الجدول'!I71 &amp; CHAR(10) &amp; "• " &amp; 'الجدول'!I72 &amp; CHAR(10) &amp; "• " &amp; 'الجدول'!I73 &amp; CHAR(10) &amp; CHAR(10) &amp; "■■ " &amp; 'الجدول'!J1 &amp; " ■■" &amp; CHAR(10) &amp; "• " &amp; 'الجدول'!J70 &amp; CHAR(10) &amp; "• " &amp; 'الجدول'!J71 &amp; CHAR(10) &amp; "• " &amp; 'الجدول'!J72 &amp; CHAR(10) &amp; "• " &amp; 'الجدول'!J73 &amp; CHAR(10) &amp; CHAR(10) &amp; "■■ " &amp; 'الجدول'!K1 &amp; " ■■" &amp; CHAR(10) &amp; "• " &amp; 'الجدول'!K70 &amp; CHAR(10) &amp; "• " &amp; 'الجدول'!K71 &amp; CHAR(10) &amp; "• " &amp; 'الجدول'!K72 &amp; CHAR(10) &amp; "• " &amp; 'الجدول'!K73 &amp; CHAR(10) &amp; CHAR(10) &amp; "■■ " &amp; 'الجدول'!L1 &amp; " ■■" &amp; CHAR(10) &amp; "• " &amp; 'الجدول'!L70 &amp; CHAR(10) &amp; "• " &amp; 'الجدول'!L71 &amp; CHAR(10) &amp; "• " &amp; 'الجدول'!L72 &amp; CHAR(10) &amp; "• " &amp; 'الجدول'!L73 &amp; CHAR(10) &amp; CHAR(10) &amp; "■■ " &amp; 'الجدول'!M1 &amp; " ■■" &amp; CHAR(10) &amp; "• " &amp; 'الجدول'!M70 &amp; CHAR(10) &amp; "• " &amp; 'الجدول'!M71 &amp; CHAR(10) &amp; "• " &amp; 'الجدول'!M72 &amp; CHAR(10) &amp; "• " &amp; 'الجدول'!M73 &amp; CHAR(10) &amp; CHAR(10) &amp; "■■ " &amp; 'الجدول'!N1 &amp; " ■■" &amp; CHAR(10) &amp; "• " &amp; 'الجدول'!N70 &amp; CHAR(10) &amp; "• " &amp; 'الجدول'!N71 &amp; CHAR(10) &amp; "• " &amp; 'الجدول'!N72 &amp; CHAR(10) &amp; "• " &amp; 'الجدول'!N73 &amp; CHAR(10) &amp; CHAR(10) &amp; "■■ " &amp; 'الجدول'!O1 &amp; " ■■" &amp; CHAR(10) &amp; "• " &amp; 'الجدول'!O70 &amp; CHAR(10) &amp; "• " &amp; 'الجدول'!O71 &amp; CHAR(10) &amp; "• " &amp; 'الجدول'!O72 &amp; CHAR(10) &amp; "• " &amp; 'الجدول'!O73 &amp; CHAR(10) &amp; CHAR(10) &amp; "■■ " &amp; 'الجدول'!P1 &amp; " ■■" &amp; CHAR(10) &amp; "• " &amp; 'الجدول'!P70 &amp; CHAR(10) &amp; "• " &amp; 'الجدول'!P71 &amp; CHAR(10) &amp; "• " &amp; 'الجدول'!P72 &amp; CHAR(10) &amp; "• " &amp; 'الجدول'!P73 &amp; CHAR(10) &amp; CHAR(10) &amp; "■■ " &amp; 'الجدول'!Q1 &amp; " ■■" &amp; CHAR(10) &amp; "• " &amp; 'الجدول'!Q70 &amp; CHAR(10) &amp; "• " &amp; 'الجدول'!Q71 &amp; CHAR(10) &amp; "• " &amp; 'الجدول'!Q72 &amp; CHAR(10) &amp; "• " &amp; 'الجدول'!Q73 &amp; CHAR(10) &amp; CHAR(10) &amp; "■■ " &amp; 'الجدول'!R1 &amp; " ■■" &amp; CHAR(10) &amp; "• " &amp; 'الجدول'!R70 &amp; CHAR(10) &amp; "• " &amp; 'الجدول'!R71 &amp; CHAR(10) &amp; "• " &amp; 'الجدول'!R72 &amp; CHAR(10) &amp; "• " &amp; 'الجدول'!R73 &amp; CHAR(10) &amp; CHAR(10) &amp; "■■ " &amp; 'الجدول'!S1 &amp; " ■■" &amp; CHAR(10) &amp; "• " &amp; 'الجدول'!S70 &amp; CHAR(10) &amp; "• " &amp; 'الجدول'!S71 &amp; CHAR(10) &amp; "• " &amp; 'الجدول'!S72 &amp; CHAR(10) &amp; "• " &amp; 'الجدول'!S73 &amp; CHAR(10) &amp; CHAR(10) &amp; "■■ " &amp; 'الجدول'!T1 &amp; " ■■" &amp; CHAR(10) &amp; "• " &amp; 'الجدول'!T70 &amp; CHAR(10) &amp; "• " &amp; 'الجدول'!T71 &amp; CHAR(10) &amp; "• " &amp; 'الجدول'!T72 &amp; CHAR(10) &amp; "• " &amp; 'الجدول'!T73 &amp; CHAR(10) &amp; CHAR(10) &amp; "■■ " &amp; 'الجدول'!U1 &amp; " ■■" &amp; CHAR(10) &amp; "• " &amp; 'الجدول'!U70 &amp; CHAR(10) &amp; "• " &amp; 'الجدول'!U71 &amp; CHAR(10) &amp; "• " &amp; 'الجدول'!U72 &amp; CHAR(10) &amp; "• " &amp; 'الجدول'!U73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محمد علي جادالرب
(01553129877)
• فاطِمة حلمي صالح
(01023893860)
• Mahinour Ashraf Soud
(01068470463)
• منة الله فؤاد القماح
(1013662223)
■■ شيفت صباحى ■■
• ----------
• ----------
• ----------
• ----------
■■ شيفت مسائى ■■
• ابراهيم احمد السيد
(01158350951)
• حازم خالد حسن
(01005673996)
• أحمد شعبان أحمد
(01093392523)
• ----------
■■ شيفت مسائى ■■
• ----------
• ----------
• ----------
• ----------
■■ ليستة ■■
• رحاب يحيي احمد
(01150081936)
• حازم كرم كرم
(01118280669)
• ----------
• ----------
</v>
      </c>
      <c r="C16" s="3" t="str">
        <f>HYPERLINK("#الجدول!A" &amp; 69, "الجدول الأساسي")</f>
        <v>الجدول الأساسي</v>
      </c>
    </row>
    <row r="17">
      <c r="A17" s="1" t="s">
        <v>92</v>
      </c>
      <c r="B17" s="5" t="str">
        <f>"" &amp; "■■ " &amp; 'الجدول'!B1 &amp; " ■■" &amp; CHAR(10) &amp; "• " &amp; 'الجدول'!B74 &amp; CHAR(10) &amp; "• " &amp; 'الجدول'!B75 &amp; CHAR(10) &amp; "• " &amp; 'الجدول'!B76 &amp; CHAR(10) &amp; "• " &amp; 'الجدول'!B77 &amp; CHAR(10) &amp; CHAR(10) &amp; "■■ " &amp; 'الجدول'!C1 &amp; " ■■" &amp; CHAR(10) &amp; "• " &amp; 'الجدول'!C74 &amp; CHAR(10) &amp; "• " &amp; 'الجدول'!C75 &amp; CHAR(10) &amp; "• " &amp; 'الجدول'!C76 &amp; CHAR(10) &amp; "• " &amp; 'الجدول'!C77 &amp; CHAR(10) &amp; CHAR(10) &amp; "■■ " &amp; 'الجدول'!D1 &amp; " ■■" &amp; CHAR(10) &amp; "• " &amp; 'الجدول'!D74 &amp; CHAR(10) &amp; "• " &amp; 'الجدول'!D75 &amp; CHAR(10) &amp; "• " &amp; 'الجدول'!D76 &amp; CHAR(10) &amp; "• " &amp; 'الجدول'!D77 &amp; CHAR(10) &amp; CHAR(10) &amp; "■■ " &amp; 'الجدول'!E1 &amp; " ■■" &amp; CHAR(10) &amp; "• " &amp; 'الجدول'!E74 &amp; CHAR(10) &amp; "• " &amp; 'الجدول'!E75 &amp; CHAR(10) &amp; "• " &amp; 'الجدول'!E76 &amp; CHAR(10) &amp; "• " &amp; 'الجدول'!E77 &amp; CHAR(10) &amp; CHAR(10) &amp; "■■ " &amp; 'الجدول'!F1 &amp; " ■■" &amp; CHAR(10) &amp; "• " &amp; 'الجدول'!F74 &amp; CHAR(10) &amp; "• " &amp; 'الجدول'!F75 &amp; CHAR(10) &amp; "• " &amp; 'الجدول'!F76 &amp; CHAR(10) &amp; "• " &amp; 'الجدول'!F77 &amp; CHAR(10) &amp; CHAR(10) &amp; "■■ " &amp; 'الجدول'!G1 &amp; " ■■" &amp; CHAR(10) &amp; "• " &amp; 'الجدول'!G74 &amp; CHAR(10) &amp; "• " &amp; 'الجدول'!G75 &amp; CHAR(10) &amp; "• " &amp; 'الجدول'!G76 &amp; CHAR(10) &amp; "• " &amp; 'الجدول'!G77 &amp; CHAR(10) &amp; CHAR(10) &amp; "■■ " &amp; 'الجدول'!H1 &amp; " ■■" &amp; CHAR(10) &amp; "• " &amp; 'الجدول'!H74 &amp; CHAR(10) &amp; "• " &amp; 'الجدول'!H75 &amp; CHAR(10) &amp; "• " &amp; 'الجدول'!H76 &amp; CHAR(10) &amp; "• " &amp; 'الجدول'!H77 &amp; CHAR(10) &amp; CHAR(10) &amp; "■■ " &amp; 'الجدول'!I1 &amp; " ■■" &amp; CHAR(10) &amp; "• " &amp; 'الجدول'!I74 &amp; CHAR(10) &amp; "• " &amp; 'الجدول'!I75 &amp; CHAR(10) &amp; "• " &amp; 'الجدول'!I76 &amp; CHAR(10) &amp; "• " &amp; 'الجدول'!I77 &amp; CHAR(10) &amp; CHAR(10) &amp; "■■ " &amp; 'الجدول'!J1 &amp; " ■■" &amp; CHAR(10) &amp; "• " &amp; 'الجدول'!J74 &amp; CHAR(10) &amp; "• " &amp; 'الجدول'!J75 &amp; CHAR(10) &amp; "• " &amp; 'الجدول'!J76 &amp; CHAR(10) &amp; "• " &amp; 'الجدول'!J77 &amp; CHAR(10) &amp; CHAR(10) &amp; "■■ " &amp; 'الجدول'!K1 &amp; " ■■" &amp; CHAR(10) &amp; "• " &amp; 'الجدول'!K74 &amp; CHAR(10) &amp; "• " &amp; 'الجدول'!K75 &amp; CHAR(10) &amp; "• " &amp; 'الجدول'!K76 &amp; CHAR(10) &amp; "• " &amp; 'الجدول'!K77 &amp; CHAR(10) &amp; CHAR(10) &amp; "■■ " &amp; 'الجدول'!L1 &amp; " ■■" &amp; CHAR(10) &amp; "• " &amp; 'الجدول'!L74 &amp; CHAR(10) &amp; "• " &amp; 'الجدول'!L75 &amp; CHAR(10) &amp; "• " &amp; 'الجدول'!L76 &amp; CHAR(10) &amp; "• " &amp; 'الجدول'!L77 &amp; CHAR(10) &amp; CHAR(10) &amp; "■■ " &amp; 'الجدول'!M1 &amp; " ■■" &amp; CHAR(10) &amp; "• " &amp; 'الجدول'!M74 &amp; CHAR(10) &amp; "• " &amp; 'الجدول'!M75 &amp; CHAR(10) &amp; "• " &amp; 'الجدول'!M76 &amp; CHAR(10) &amp; "• " &amp; 'الجدول'!M77 &amp; CHAR(10) &amp; CHAR(10) &amp; "■■ " &amp; 'الجدول'!N1 &amp; " ■■" &amp; CHAR(10) &amp; "• " &amp; 'الجدول'!N74 &amp; CHAR(10) &amp; "• " &amp; 'الجدول'!N75 &amp; CHAR(10) &amp; "• " &amp; 'الجدول'!N76 &amp; CHAR(10) &amp; "• " &amp; 'الجدول'!N77 &amp; CHAR(10) &amp; CHAR(10) &amp; "■■ " &amp; 'الجدول'!O1 &amp; " ■■" &amp; CHAR(10) &amp; "• " &amp; 'الجدول'!O74 &amp; CHAR(10) &amp; "• " &amp; 'الجدول'!O75 &amp; CHAR(10) &amp; "• " &amp; 'الجدول'!O76 &amp; CHAR(10) &amp; "• " &amp; 'الجدول'!O77 &amp; CHAR(10) &amp; CHAR(10) &amp; "■■ " &amp; 'الجدول'!P1 &amp; " ■■" &amp; CHAR(10) &amp; "• " &amp; 'الجدول'!P74 &amp; CHAR(10) &amp; "• " &amp; 'الجدول'!P75 &amp; CHAR(10) &amp; "• " &amp; 'الجدول'!P76 &amp; CHAR(10) &amp; "• " &amp; 'الجدول'!P77 &amp; CHAR(10) &amp; CHAR(10) &amp; "■■ " &amp; 'الجدول'!Q1 &amp; " ■■" &amp; CHAR(10) &amp; "• " &amp; 'الجدول'!Q74 &amp; CHAR(10) &amp; "• " &amp; 'الجدول'!Q75 &amp; CHAR(10) &amp; "• " &amp; 'الجدول'!Q76 &amp; CHAR(10) &amp; "• " &amp; 'الجدول'!Q77 &amp; CHAR(10) &amp; CHAR(10) &amp; "■■ " &amp; 'الجدول'!R1 &amp; " ■■" &amp; CHAR(10) &amp; "• " &amp; 'الجدول'!R74 &amp; CHAR(10) &amp; "• " &amp; 'الجدول'!R75 &amp; CHAR(10) &amp; "• " &amp; 'الجدول'!R76 &amp; CHAR(10) &amp; "• " &amp; 'الجدول'!R77 &amp; CHAR(10) &amp; CHAR(10) &amp; "■■ " &amp; 'الجدول'!S1 &amp; " ■■" &amp; CHAR(10) &amp; "• " &amp; 'الجدول'!S74 &amp; CHAR(10) &amp; "• " &amp; 'الجدول'!S75 &amp; CHAR(10) &amp; "• " &amp; 'الجدول'!S76 &amp; CHAR(10) &amp; "• " &amp; 'الجدول'!S77 &amp; CHAR(10) &amp; CHAR(10) &amp; "■■ " &amp; 'الجدول'!T1 &amp; " ■■" &amp; CHAR(10) &amp; "• " &amp; 'الجدول'!T74 &amp; CHAR(10) &amp; "• " &amp; 'الجدول'!T75 &amp; CHAR(10) &amp; "• " &amp; 'الجدول'!T76 &amp; CHAR(10) &amp; "• " &amp; 'الجدول'!T77 &amp; CHAR(10) &amp; CHAR(10) &amp; "■■ " &amp; 'الجدول'!U1 &amp; " ■■" &amp; CHAR(10) &amp; "• " &amp; 'الجدول'!U74 &amp; CHAR(10) &amp; "• " &amp; 'الجدول'!U75 &amp; CHAR(10) &amp; "• " &amp; 'الجدول'!U76 &amp; CHAR(10) &amp; "• " &amp; 'الجدول'!U77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هبة جمال محمد محمد
(01027181761)
• رضوى صلاح
(01002301809)
• عمر محمد عبد الفتاح
(01102262698)
• محمد السيد سعد
(01110135622)
■■ شيفت صباحى ■■
• ----------
• ----------
• ----------
• ----------
■■ شيفت مسائى ■■
• عبدالرحمن رمضان رزق
(01098897354)
• كمال فضل محمد
(01102343017)
• أحمد محمد فتحي
(01151513326)
• ----------
■■ شيفت مسائى ■■
• ----------
• ----------
• ----------
• ----------
■■ ليستة ■■
• عائشة عمرو قرشي
(01002171719)
• مروان عبد المقصود نصر
(01272940086)
• ----------
• ----------
</v>
      </c>
      <c r="C17" s="3" t="str">
        <f>HYPERLINK("#الجدول!A" &amp; 73, "الجدول الأساسي")</f>
        <v>الجدول الأساسي</v>
      </c>
    </row>
    <row r="18">
      <c r="A18" s="1" t="s">
        <v>93</v>
      </c>
      <c r="B18" s="5" t="str">
        <f>"" &amp; "■■ " &amp; 'الجدول'!B1 &amp; " ■■" &amp; CHAR(10) &amp; "• " &amp; 'الجدول'!B78 &amp; CHAR(10) &amp; "• " &amp; 'الجدول'!B79 &amp; CHAR(10) &amp; "• " &amp; 'الجدول'!B80 &amp; CHAR(10) &amp; CHAR(10) &amp; "■■ " &amp; 'الجدول'!C1 &amp; " ■■" &amp; CHAR(10) &amp; "• " &amp; 'الجدول'!C78 &amp; CHAR(10) &amp; "• " &amp; 'الجدول'!C79 &amp; CHAR(10) &amp; "• " &amp; 'الجدول'!C80 &amp; CHAR(10) &amp; CHAR(10) &amp; "■■ " &amp; 'الجدول'!D1 &amp; " ■■" &amp; CHAR(10) &amp; "• " &amp; 'الجدول'!D78 &amp; CHAR(10) &amp; "• " &amp; 'الجدول'!D79 &amp; CHAR(10) &amp; "• " &amp; 'الجدول'!D80 &amp; CHAR(10) &amp; CHAR(10) &amp; "■■ " &amp; 'الجدول'!E1 &amp; " ■■" &amp; CHAR(10) &amp; "• " &amp; 'الجدول'!E78 &amp; CHAR(10) &amp; "• " &amp; 'الجدول'!E79 &amp; CHAR(10) &amp; "• " &amp; 'الجدول'!E80 &amp; CHAR(10) &amp; CHAR(10) &amp; "■■ " &amp; 'الجدول'!F1 &amp; " ■■" &amp; CHAR(10) &amp; "• " &amp; 'الجدول'!F78 &amp; CHAR(10) &amp; "• " &amp; 'الجدول'!F79 &amp; CHAR(10) &amp; "• " &amp; 'الجدول'!F80 &amp; CHAR(10) &amp; CHAR(10) &amp; "■■ " &amp; 'الجدول'!G1 &amp; " ■■" &amp; CHAR(10) &amp; "• " &amp; 'الجدول'!G78 &amp; CHAR(10) &amp; "• " &amp; 'الجدول'!G79 &amp; CHAR(10) &amp; "• " &amp; 'الجدول'!G80 &amp; CHAR(10) &amp; CHAR(10) &amp; "■■ " &amp; 'الجدول'!H1 &amp; " ■■" &amp; CHAR(10) &amp; "• " &amp; 'الجدول'!H78 &amp; CHAR(10) &amp; "• " &amp; 'الجدول'!H79 &amp; CHAR(10) &amp; "• " &amp; 'الجدول'!H80 &amp; CHAR(10) &amp; CHAR(10) &amp; "■■ " &amp; 'الجدول'!I1 &amp; " ■■" &amp; CHAR(10) &amp; "• " &amp; 'الجدول'!I78 &amp; CHAR(10) &amp; "• " &amp; 'الجدول'!I79 &amp; CHAR(10) &amp; "• " &amp; 'الجدول'!I80 &amp; CHAR(10) &amp; CHAR(10) &amp; "■■ " &amp; 'الجدول'!J1 &amp; " ■■" &amp; CHAR(10) &amp; "• " &amp; 'الجدول'!J78 &amp; CHAR(10) &amp; "• " &amp; 'الجدول'!J79 &amp; CHAR(10) &amp; "• " &amp; 'الجدول'!J80 &amp; CHAR(10) &amp; CHAR(10) &amp; "■■ " &amp; 'الجدول'!K1 &amp; " ■■" &amp; CHAR(10) &amp; "• " &amp; 'الجدول'!K78 &amp; CHAR(10) &amp; "• " &amp; 'الجدول'!K79 &amp; CHAR(10) &amp; "• " &amp; 'الجدول'!K80 &amp; CHAR(10) &amp; CHAR(10) &amp; "■■ " &amp; 'الجدول'!L1 &amp; " ■■" &amp; CHAR(10) &amp; "• " &amp; 'الجدول'!L78 &amp; CHAR(10) &amp; "• " &amp; 'الجدول'!L79 &amp; CHAR(10) &amp; "• " &amp; 'الجدول'!L80 &amp; CHAR(10) &amp; CHAR(10) &amp; "■■ " &amp; 'الجدول'!M1 &amp; " ■■" &amp; CHAR(10) &amp; "• " &amp; 'الجدول'!M78 &amp; CHAR(10) &amp; "• " &amp; 'الجدول'!M79 &amp; CHAR(10) &amp; "• " &amp; 'الجدول'!M80 &amp; CHAR(10) &amp; CHAR(10) &amp; "■■ " &amp; 'الجدول'!N1 &amp; " ■■" &amp; CHAR(10) &amp; "• " &amp; 'الجدول'!N78 &amp; CHAR(10) &amp; "• " &amp; 'الجدول'!N79 &amp; CHAR(10) &amp; "• " &amp; 'الجدول'!N80 &amp; CHAR(10) &amp; CHAR(10) &amp; "■■ " &amp; 'الجدول'!O1 &amp; " ■■" &amp; CHAR(10) &amp; "• " &amp; 'الجدول'!O78 &amp; CHAR(10) &amp; "• " &amp; 'الجدول'!O79 &amp; CHAR(10) &amp; "• " &amp; 'الجدول'!O80 &amp; CHAR(10) &amp; CHAR(10) &amp; "■■ " &amp; 'الجدول'!P1 &amp; " ■■" &amp; CHAR(10) &amp; "• " &amp; 'الجدول'!P78 &amp; CHAR(10) &amp; "• " &amp; 'الجدول'!P79 &amp; CHAR(10) &amp; "• " &amp; 'الجدول'!P80 &amp; CHAR(10) &amp; CHAR(10) &amp; "■■ " &amp; 'الجدول'!Q1 &amp; " ■■" &amp; CHAR(10) &amp; "• " &amp; 'الجدول'!Q78 &amp; CHAR(10) &amp; "• " &amp; 'الجدول'!Q79 &amp; CHAR(10) &amp; "• " &amp; 'الجدول'!Q80 &amp; CHAR(10) &amp; CHAR(10) &amp; "■■ " &amp; 'الجدول'!R1 &amp; " ■■" &amp; CHAR(10) &amp; "• " &amp; 'الجدول'!R78 &amp; CHAR(10) &amp; "• " &amp; 'الجدول'!R79 &amp; CHAR(10) &amp; "• " &amp; 'الجدول'!R80 &amp; CHAR(10) &amp; CHAR(10) &amp; "■■ " &amp; 'الجدول'!S1 &amp; " ■■" &amp; CHAR(10) &amp; "• " &amp; 'الجدول'!S78 &amp; CHAR(10) &amp; "• " &amp; 'الجدول'!S79 &amp; CHAR(10) &amp; "• " &amp; 'الجدول'!S80 &amp; CHAR(10) &amp; CHAR(10) &amp; "■■ " &amp; 'الجدول'!T1 &amp; " ■■" &amp; CHAR(10) &amp; "• " &amp; 'الجدول'!T78 &amp; CHAR(10) &amp; "• " &amp; 'الجدول'!T79 &amp; CHAR(10) &amp; "• " &amp; 'الجدول'!T80 &amp; CHAR(10) &amp; CHAR(10) &amp; "■■ " &amp; 'الجدول'!U1 &amp; " ■■" &amp; CHAR(10) &amp; "• " &amp; 'الجدول'!U78 &amp; CHAR(10) &amp; "• " &amp; 'الجدول'!U79 &amp; CHAR(10) &amp; "• " &amp; 'الجدول'!U80 &amp; CHAR(10) &amp; CHAR(10)</f>
        <v>■■ A) DAY CLINIC THEN OPERATIONS ■■
• ----------
• ----------
• ----------
■■ A) NIGHT OPERATIONS ■■
• ----------
• ----------
• ----------
■■ B) DAY SENIOR GENERAL ■■
• ----------
• ----------
• ----------
■■ B) NIGHT SENIOR GENERAL ■■
• ----------
• ----------
• ----------
■■ C) DAY ADMISSION ■■
• ----------
• ----------
• ----------
■■ C) NIGHT ADMISSION ■■
• ----------
• ----------
• ----------
■■ D) DAY GENERAL ■■
• ----------
• ----------
• ----------
■■ D) NIGHT GENERAL ■■
• ----------
• ----------
• ----------
■■ E) DAY SENIOR PT ■■
• ----------
• ----------
• ----------
■■ E) NIGHT SENIOR PT ■■
• ----------
• ----------
• ----------
■■ F) DAY PT ■■
• ----------
• ----------
• ----------
■■ F) NIGHT PT ■■
• ----------
• ----------
• ----------
■■ G) DAY WARD ■■
• ----------
• ----------
• ----------
■■ G) NIGHT WARD ■■
• ----------
• ----------
• ----------
■■ Shift ward 1-8pm ■■
• فاطِمة حلمي صالح
(01023893860)
• هبة جمال محمد محمد
(01027181761)
• ----------
■■ شيفت صباحى ■■
• سارة امين انور
(01212624091)
• جورج ممدوح
(01207444355)
• فؤاد أحمد عبدالمنعم
(01091535003)
■■ شيفت صباحى ■■
• ----------
• ----------
• ----------
■■ شيفت مسائى ■■
• أحمد محمد أحمد
(01112122129)
• عبدالرحمن عصام حلمى
(01028229796)
• ----------
■■ شيفت مسائى ■■
• ----------
• ----------
• ----------
■■ ليستة ■■
• ----------
• ----------
• ----------
</v>
      </c>
      <c r="C18" s="3" t="str">
        <f>HYPERLINK("#الجدول!A" &amp; 77, "الجدول الأساسي")</f>
        <v>الجدول الأساسي</v>
      </c>
    </row>
    <row r="19">
      <c r="A19" s="1" t="s">
        <v>94</v>
      </c>
      <c r="B19" s="5" t="str">
        <f>"" &amp; "■■ " &amp; 'الجدول'!B1 &amp; " ■■" &amp; CHAR(10) &amp; "• " &amp; 'الجدول'!B81 &amp; CHAR(10) &amp; "• " &amp; 'الجدول'!B82 &amp; CHAR(10) &amp; "• " &amp; 'الجدول'!B83 &amp; CHAR(10) &amp; "• " &amp; 'الجدول'!B84 &amp; CHAR(10) &amp; "• " &amp; 'الجدول'!B85 &amp; CHAR(10) &amp; "• " &amp; 'الجدول'!B86 &amp; CHAR(10) &amp; "• " &amp; 'الجدول'!B87 &amp; CHAR(10) &amp; "• " &amp; 'الجدول'!B88 &amp; CHAR(10) &amp; CHAR(10) &amp; "■■ " &amp; 'الجدول'!C1 &amp; " ■■" &amp; CHAR(10) &amp; "• " &amp; 'الجدول'!C81 &amp; CHAR(10) &amp; "• " &amp; 'الجدول'!C82 &amp; CHAR(10) &amp; "• " &amp; 'الجدول'!C83 &amp; CHAR(10) &amp; "• " &amp; 'الجدول'!C84 &amp; CHAR(10) &amp; "• " &amp; 'الجدول'!C85 &amp; CHAR(10) &amp; "• " &amp; 'الجدول'!C86 &amp; CHAR(10) &amp; "• " &amp; 'الجدول'!C87 &amp; CHAR(10) &amp; "• " &amp; 'الجدول'!C88 &amp; CHAR(10) &amp; CHAR(10) &amp; "■■ " &amp; 'الجدول'!D1 &amp; " ■■" &amp; CHAR(10) &amp; "• " &amp; 'الجدول'!D81 &amp; CHAR(10) &amp; "• " &amp; 'الجدول'!D82 &amp; CHAR(10) &amp; "• " &amp; 'الجدول'!D83 &amp; CHAR(10) &amp; "• " &amp; 'الجدول'!D84 &amp; CHAR(10) &amp; "• " &amp; 'الجدول'!D85 &amp; CHAR(10) &amp; "• " &amp; 'الجدول'!D86 &amp; CHAR(10) &amp; "• " &amp; 'الجدول'!D87 &amp; CHAR(10) &amp; "• " &amp; 'الجدول'!D88 &amp; CHAR(10) &amp; CHAR(10) &amp; "■■ " &amp; 'الجدول'!E1 &amp; " ■■" &amp; CHAR(10) &amp; "• " &amp; 'الجدول'!E81 &amp; CHAR(10) &amp; "• " &amp; 'الجدول'!E82 &amp; CHAR(10) &amp; "• " &amp; 'الجدول'!E83 &amp; CHAR(10) &amp; "• " &amp; 'الجدول'!E84 &amp; CHAR(10) &amp; "• " &amp; 'الجدول'!E85 &amp; CHAR(10) &amp; "• " &amp; 'الجدول'!E86 &amp; CHAR(10) &amp; "• " &amp; 'الجدول'!E87 &amp; CHAR(10) &amp; "• " &amp; 'الجدول'!E88 &amp; CHAR(10) &amp; CHAR(10) &amp; "■■ " &amp; 'الجدول'!F1 &amp; " ■■" &amp; CHAR(10) &amp; "• " &amp; 'الجدول'!F81 &amp; CHAR(10) &amp; "• " &amp; 'الجدول'!F82 &amp; CHAR(10) &amp; "• " &amp; 'الجدول'!F83 &amp; CHAR(10) &amp; "• " &amp; 'الجدول'!F84 &amp; CHAR(10) &amp; "• " &amp; 'الجدول'!F85 &amp; CHAR(10) &amp; "• " &amp; 'الجدول'!F86 &amp; CHAR(10) &amp; "• " &amp; 'الجدول'!F87 &amp; CHAR(10) &amp; "• " &amp; 'الجدول'!F88 &amp; CHAR(10) &amp; CHAR(10) &amp; "■■ " &amp; 'الجدول'!G1 &amp; " ■■" &amp; CHAR(10) &amp; "• " &amp; 'الجدول'!G81 &amp; CHAR(10) &amp; "• " &amp; 'الجدول'!G82 &amp; CHAR(10) &amp; "• " &amp; 'الجدول'!G83 &amp; CHAR(10) &amp; "• " &amp; 'الجدول'!G84 &amp; CHAR(10) &amp; "• " &amp; 'الجدول'!G85 &amp; CHAR(10) &amp; "• " &amp; 'الجدول'!G86 &amp; CHAR(10) &amp; "• " &amp; 'الجدول'!G87 &amp; CHAR(10) &amp; "• " &amp; 'الجدول'!G88 &amp; CHAR(10) &amp; CHAR(10) &amp; "■■ " &amp; 'الجدول'!H1 &amp; " ■■" &amp; CHAR(10) &amp; "• " &amp; 'الجدول'!H81 &amp; CHAR(10) &amp; "• " &amp; 'الجدول'!H82 &amp; CHAR(10) &amp; "• " &amp; 'الجدول'!H83 &amp; CHAR(10) &amp; "• " &amp; 'الجدول'!H84 &amp; CHAR(10) &amp; "• " &amp; 'الجدول'!H85 &amp; CHAR(10) &amp; "• " &amp; 'الجدول'!H86 &amp; CHAR(10) &amp; "• " &amp; 'الجدول'!H87 &amp; CHAR(10) &amp; "• " &amp; 'الجدول'!H88 &amp; CHAR(10) &amp; CHAR(10) &amp; "■■ " &amp; 'الجدول'!I1 &amp; " ■■" &amp; CHAR(10) &amp; "• " &amp; 'الجدول'!I81 &amp; CHAR(10) &amp; "• " &amp; 'الجدول'!I82 &amp; CHAR(10) &amp; "• " &amp; 'الجدول'!I83 &amp; CHAR(10) &amp; "• " &amp; 'الجدول'!I84 &amp; CHAR(10) &amp; "• " &amp; 'الجدول'!I85 &amp; CHAR(10) &amp; "• " &amp; 'الجدول'!I86 &amp; CHAR(10) &amp; "• " &amp; 'الجدول'!I87 &amp; CHAR(10) &amp; "• " &amp; 'الجدول'!I88 &amp; CHAR(10) &amp; CHAR(10) &amp; "■■ " &amp; 'الجدول'!J1 &amp; " ■■" &amp; CHAR(10) &amp; "• " &amp; 'الجدول'!J81 &amp; CHAR(10) &amp; "• " &amp; 'الجدول'!J82 &amp; CHAR(10) &amp; "• " &amp; 'الجدول'!J83 &amp; CHAR(10) &amp; "• " &amp; 'الجدول'!J84 &amp; CHAR(10) &amp; "• " &amp; 'الجدول'!J85 &amp; CHAR(10) &amp; "• " &amp; 'الجدول'!J86 &amp; CHAR(10) &amp; "• " &amp; 'الجدول'!J87 &amp; CHAR(10) &amp; "• " &amp; 'الجدول'!J88 &amp; CHAR(10) &amp; CHAR(10) &amp; "■■ " &amp; 'الجدول'!K1 &amp; " ■■" &amp; CHAR(10) &amp; "• " &amp; 'الجدول'!K81 &amp; CHAR(10) &amp; "• " &amp; 'الجدول'!K82 &amp; CHAR(10) &amp; "• " &amp; 'الجدول'!K83 &amp; CHAR(10) &amp; "• " &amp; 'الجدول'!K84 &amp; CHAR(10) &amp; "• " &amp; 'الجدول'!K85 &amp; CHAR(10) &amp; "• " &amp; 'الجدول'!K86 &amp; CHAR(10) &amp; "• " &amp; 'الجدول'!K87 &amp; CHAR(10) &amp; "• " &amp; 'الجدول'!K88 &amp; CHAR(10) &amp; CHAR(10) &amp; "■■ " &amp; 'الجدول'!L1 &amp; " ■■" &amp; CHAR(10) &amp; "• " &amp; 'الجدول'!L81 &amp; CHAR(10) &amp; "• " &amp; 'الجدول'!L82 &amp; CHAR(10) &amp; "• " &amp; 'الجدول'!L83 &amp; CHAR(10) &amp; "• " &amp; 'الجدول'!L84 &amp; CHAR(10) &amp; "• " &amp; 'الجدول'!L85 &amp; CHAR(10) &amp; "• " &amp; 'الجدول'!L86 &amp; CHAR(10) &amp; "• " &amp; 'الجدول'!L87 &amp; CHAR(10) &amp; "• " &amp; 'الجدول'!L88 &amp; CHAR(10) &amp; CHAR(10) &amp; "■■ " &amp; 'الجدول'!M1 &amp; " ■■" &amp; CHAR(10) &amp; "• " &amp; 'الجدول'!M81 &amp; CHAR(10) &amp; "• " &amp; 'الجدول'!M82 &amp; CHAR(10) &amp; "• " &amp; 'الجدول'!M83 &amp; CHAR(10) &amp; "• " &amp; 'الجدول'!M84 &amp; CHAR(10) &amp; "• " &amp; 'الجدول'!M85 &amp; CHAR(10) &amp; "• " &amp; 'الجدول'!M86 &amp; CHAR(10) &amp; "• " &amp; 'الجدول'!M87 &amp; CHAR(10) &amp; "• " &amp; 'الجدول'!M88 &amp; CHAR(10) &amp; CHAR(10) &amp; "■■ " &amp; 'الجدول'!N1 &amp; " ■■" &amp; CHAR(10) &amp; "• " &amp; 'الجدول'!N81 &amp; CHAR(10) &amp; "• " &amp; 'الجدول'!N82 &amp; CHAR(10) &amp; "• " &amp; 'الجدول'!N83 &amp; CHAR(10) &amp; "• " &amp; 'الجدول'!N84 &amp; CHAR(10) &amp; "• " &amp; 'الجدول'!N85 &amp; CHAR(10) &amp; "• " &amp; 'الجدول'!N86 &amp; CHAR(10) &amp; "• " &amp; 'الجدول'!N87 &amp; CHAR(10) &amp; "• " &amp; 'الجدول'!N88 &amp; CHAR(10) &amp; CHAR(10) &amp; "■■ " &amp; 'الجدول'!O1 &amp; " ■■" &amp; CHAR(10) &amp; "• " &amp; 'الجدول'!O81 &amp; CHAR(10) &amp; "• " &amp; 'الجدول'!O82 &amp; CHAR(10) &amp; "• " &amp; 'الجدول'!O83 &amp; CHAR(10) &amp; "• " &amp; 'الجدول'!O84 &amp; CHAR(10) &amp; "• " &amp; 'الجدول'!O85 &amp; CHAR(10) &amp; "• " &amp; 'الجدول'!O86 &amp; CHAR(10) &amp; "• " &amp; 'الجدول'!O87 &amp; CHAR(10) &amp; "• " &amp; 'الجدول'!O88 &amp; CHAR(10) &amp; CHAR(10) &amp; "■■ " &amp; 'الجدول'!P1 &amp; " ■■" &amp; CHAR(10) &amp; "• " &amp; 'الجدول'!P81 &amp; CHAR(10) &amp; "• " &amp; 'الجدول'!P82 &amp; CHAR(10) &amp; "• " &amp; 'الجدول'!P83 &amp; CHAR(10) &amp; "• " &amp; 'الجدول'!P84 &amp; CHAR(10) &amp; "• " &amp; 'الجدول'!P85 &amp; CHAR(10) &amp; "• " &amp; 'الجدول'!P86 &amp; CHAR(10) &amp; "• " &amp; 'الجدول'!P87 &amp; CHAR(10) &amp; "• " &amp; 'الجدول'!P88 &amp; CHAR(10) &amp; CHAR(10) &amp; "■■ " &amp; 'الجدول'!Q1 &amp; " ■■" &amp; CHAR(10) &amp; "• " &amp; 'الجدول'!Q81 &amp; CHAR(10) &amp; "• " &amp; 'الجدول'!Q82 &amp; CHAR(10) &amp; "• " &amp; 'الجدول'!Q83 &amp; CHAR(10) &amp; "• " &amp; 'الجدول'!Q84 &amp; CHAR(10) &amp; "• " &amp; 'الجدول'!Q85 &amp; CHAR(10) &amp; "• " &amp; 'الجدول'!Q86 &amp; CHAR(10) &amp; "• " &amp; 'الجدول'!Q87 &amp; CHAR(10) &amp; "• " &amp; 'الجدول'!Q88 &amp; CHAR(10) &amp; CHAR(10) &amp; "■■ " &amp; 'الجدول'!R1 &amp; " ■■" &amp; CHAR(10) &amp; "• " &amp; 'الجدول'!R81 &amp; CHAR(10) &amp; "• " &amp; 'الجدول'!R82 &amp; CHAR(10) &amp; "• " &amp; 'الجدول'!R83 &amp; CHAR(10) &amp; "• " &amp; 'الجدول'!R84 &amp; CHAR(10) &amp; "• " &amp; 'الجدول'!R85 &amp; CHAR(10) &amp; "• " &amp; 'الجدول'!R86 &amp; CHAR(10) &amp; "• " &amp; 'الجدول'!R87 &amp; CHAR(10) &amp; "• " &amp; 'الجدول'!R88 &amp; CHAR(10) &amp; CHAR(10) &amp; "■■ " &amp; 'الجدول'!S1 &amp; " ■■" &amp; CHAR(10) &amp; "• " &amp; 'الجدول'!S81 &amp; CHAR(10) &amp; "• " &amp; 'الجدول'!S82 &amp; CHAR(10) &amp; "• " &amp; 'الجدول'!S83 &amp; CHAR(10) &amp; "• " &amp; 'الجدول'!S84 &amp; CHAR(10) &amp; "• " &amp; 'الجدول'!S85 &amp; CHAR(10) &amp; "• " &amp; 'الجدول'!S86 &amp; CHAR(10) &amp; "• " &amp; 'الجدول'!S87 &amp; CHAR(10) &amp; "• " &amp; 'الجدول'!S88 &amp; CHAR(10) &amp; CHAR(10) &amp; "■■ " &amp; 'الجدول'!T1 &amp; " ■■" &amp; CHAR(10) &amp; "• " &amp; 'الجدول'!T81 &amp; CHAR(10) &amp; "• " &amp; 'الجدول'!T82 &amp; CHAR(10) &amp; "• " &amp; 'الجدول'!T83 &amp; CHAR(10) &amp; "• " &amp; 'الجدول'!T84 &amp; CHAR(10) &amp; "• " &amp; 'الجدول'!T85 &amp; CHAR(10) &amp; "• " &amp; 'الجدول'!T86 &amp; CHAR(10) &amp; "• " &amp; 'الجدول'!T87 &amp; CHAR(10) &amp; "• " &amp; 'الجدول'!T88 &amp; CHAR(10) &amp; CHAR(10) &amp; "■■ " &amp; 'الجدول'!U1 &amp; " ■■" &amp; CHAR(10) &amp; "• " &amp; 'الجدول'!U81 &amp; CHAR(10) &amp; "• " &amp; 'الجدول'!U82 &amp; CHAR(10) &amp; "• " &amp; 'الجدول'!U83 &amp; CHAR(10) &amp; "• " &amp; 'الجدول'!U84 &amp; CHAR(10) &amp; "• " &amp; 'الجدول'!U85 &amp; CHAR(10) &amp; "• " &amp; 'الجدول'!U86 &amp; CHAR(10) &amp; "• " &amp; 'الجدول'!U87 &amp; CHAR(10) &amp; "• " &amp; 'الجدول'!U88 &amp; CHAR(10) &amp; CHAR(10)</f>
        <v>■■ A) DAY CLINIC THEN OPERATIONS ■■
• محمد محمود عبدالسلام
(01152327499)
• ----------
• ----------
• ----------
• ----------
• ----------
• ----------
• ----------
■■ A) NIGHT OPERATIONS ■■
• عبدالرحمن رمضان رزق
(01098897354)
• ----------
• ----------
• ----------
• ----------
• ----------
• ----------
• ----------
■■ B) DAY SENIOR GENERAL ■■
• تمارا خالد جمال الدين
(01096688868)
• ----------
• ----------
• ----------
• ----------
• ----------
• ----------
• ----------
■■ B) NIGHT SENIOR GENERAL ■■
• Beshoy Botros
(01274308491)
• ----------
• ----------
• ----------
• ----------
• ----------
• ----------
• ----------
■■ C) DAY ADMISSION ■■
• ReHab Nasser Khamis
(01159448250)
• ----------
• ----------
• ----------
• ----------
• ----------
• ----------
• ----------
■■ C) NIGHT ADMISSION ■■
• Raghad Elhamy
(01116764208)
• ----------
• ----------
• ----------
• ----------
• ----------
• ----------
• ----------
■■ D) DAY GENERAL ■■
• سارة امين انور
(01212624091)
• ياسمين زهدي السيد
(01098924963)
• فاطمة أحمد درويش
(01093879135)
• مريم علاء محمود
(01001770021)
• ابراهيم احمد السيد
(01158350951)
• نورهان ياسر عبدالمعز
(01063257329)
• فؤاد أحمد عبدالمنعم
(01091535003)
• شاهيناز عبدالعزيز محمد
(01062940492)
■■ D) NIGHT GENERAL ■■
• يمنى جمال فتحي
(01040454689)
• حسام سالم الداعور
(01123835996)
• كمال فضل محمد
(01102343017)
• Mohamed lotfy
(01064810610)
• ميار مسعد توفيق
(01153028000)
• عمر محمد أحمد
(01208321212)
• سامي ابراهيم علي
(01114713755)
• يوسف احمد يحيى
(01030652702)
■■ E) DAY SENIOR PT ■■
• خالد شريف البجيرمي
(01062857469)
• ----------
• ----------
• ----------
• ----------
• ----------
• ----------
• ----------
■■ E) NIGHT SENIOR PT ■■
• محمد محمد شرف
(01032029140)
• ----------
• ----------
• ----------
• ----------
• ----------
• ----------
• ----------
■■ F) DAY PT ■■
• رضوى صلاح
(01002301809)
• عمر محمد عبد الفتاح
(01102262698)
• مروان عبد المقصود نصر
(01272940086)
• محمد علي جادالرب
(01553129877)
• عمر وليد محمد
(01062000026)
• مصطفى رمضان مصطفى
(01274212921)
• حنين احمد  علي
(01092469321)
• ----------
■■ F) NIGHT PT ■■
• منة الله فؤاد القماح
(1013662223)
• Hasnaa gamal
(01111693084)
• محمود سليم عاشور
(01107286243)
• احمد رزق
(٠١٠٠٢٣٣٥٤٨٦)
• فاطِمة حلمي صالح
(01023893860)
• حنين احمد  علي
(01092469321)
• Mona araby sayed
(01102616595)
• ----------
■■ G) DAY WARD ■■
• جورج ممدوح
(01207444355)
• أحمد شعبان أحمد
(01093392523)
• محمد السيد سعد
(01110135622)
• حازم كرم كرم
(01118280669)
• ----------
• ----------
• ----------
• ----------
■■ G) NIGHT WARD ■■
• أحمد محمد أحمد
(01112122129)
• عبدالرحمن عصام حلمى
(01028229796)
• Nada Mohamed Ahmed
(01141380592)
• محمد عبد اللاه السيد حامد
(01559004738)
• ----------
• ----------
• ----------
• ----------
■■ Shift ward 1-8pm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ليستة ■■
• ----------
• ----------
• ----------
• ----------
• ----------
• ----------
• ----------
• ----------
</v>
      </c>
      <c r="C19" s="3" t="str">
        <f>HYPERLINK("#الجدول!A" &amp; 80, "الجدول الأساسي")</f>
        <v>الجدول الأساسي</v>
      </c>
    </row>
    <row r="20">
      <c r="A20" s="1" t="s">
        <v>96</v>
      </c>
      <c r="B20" s="5" t="str">
        <f>"" &amp; "■■ " &amp; 'الجدول'!B1 &amp; " ■■" &amp; CHAR(10) &amp; "• " &amp; 'الجدول'!B89 &amp; CHAR(10) &amp; "• " &amp; 'الجدول'!B90 &amp; CHAR(10) &amp; "• " &amp; 'الجدول'!B91 &amp; CHAR(10) &amp; "• " &amp; 'الجدول'!B92 &amp; CHAR(10) &amp; "• " &amp; 'الجدول'!B93 &amp; CHAR(10) &amp; "• " &amp; 'الجدول'!B94 &amp; CHAR(10) &amp; "• " &amp; 'الجدول'!B95 &amp; CHAR(10) &amp; CHAR(10) &amp; "■■ " &amp; 'الجدول'!C1 &amp; " ■■" &amp; CHAR(10) &amp; "• " &amp; 'الجدول'!C89 &amp; CHAR(10) &amp; "• " &amp; 'الجدول'!C90 &amp; CHAR(10) &amp; "• " &amp; 'الجدول'!C91 &amp; CHAR(10) &amp; "• " &amp; 'الجدول'!C92 &amp; CHAR(10) &amp; "• " &amp; 'الجدول'!C93 &amp; CHAR(10) &amp; "• " &amp; 'الجدول'!C94 &amp; CHAR(10) &amp; "• " &amp; 'الجدول'!C95 &amp; CHAR(10) &amp; CHAR(10) &amp; "■■ " &amp; 'الجدول'!D1 &amp; " ■■" &amp; CHAR(10) &amp; "• " &amp; 'الجدول'!D89 &amp; CHAR(10) &amp; "• " &amp; 'الجدول'!D90 &amp; CHAR(10) &amp; "• " &amp; 'الجدول'!D91 &amp; CHAR(10) &amp; "• " &amp; 'الجدول'!D92 &amp; CHAR(10) &amp; "• " &amp; 'الجدول'!D93 &amp; CHAR(10) &amp; "• " &amp; 'الجدول'!D94 &amp; CHAR(10) &amp; "• " &amp; 'الجدول'!D95 &amp; CHAR(10) &amp; CHAR(10) &amp; "■■ " &amp; 'الجدول'!E1 &amp; " ■■" &amp; CHAR(10) &amp; "• " &amp; 'الجدول'!E89 &amp; CHAR(10) &amp; "• " &amp; 'الجدول'!E90 &amp; CHAR(10) &amp; "• " &amp; 'الجدول'!E91 &amp; CHAR(10) &amp; "• " &amp; 'الجدول'!E92 &amp; CHAR(10) &amp; "• " &amp; 'الجدول'!E93 &amp; CHAR(10) &amp; "• " &amp; 'الجدول'!E94 &amp; CHAR(10) &amp; "• " &amp; 'الجدول'!E95 &amp; CHAR(10) &amp; CHAR(10) &amp; "■■ " &amp; 'الجدول'!F1 &amp; " ■■" &amp; CHAR(10) &amp; "• " &amp; 'الجدول'!F89 &amp; CHAR(10) &amp; "• " &amp; 'الجدول'!F90 &amp; CHAR(10) &amp; "• " &amp; 'الجدول'!F91 &amp; CHAR(10) &amp; "• " &amp; 'الجدول'!F92 &amp; CHAR(10) &amp; "• " &amp; 'الجدول'!F93 &amp; CHAR(10) &amp; "• " &amp; 'الجدول'!F94 &amp; CHAR(10) &amp; "• " &amp; 'الجدول'!F95 &amp; CHAR(10) &amp; CHAR(10) &amp; "■■ " &amp; 'الجدول'!G1 &amp; " ■■" &amp; CHAR(10) &amp; "• " &amp; 'الجدول'!G89 &amp; CHAR(10) &amp; "• " &amp; 'الجدول'!G90 &amp; CHAR(10) &amp; "• " &amp; 'الجدول'!G91 &amp; CHAR(10) &amp; "• " &amp; 'الجدول'!G92 &amp; CHAR(10) &amp; "• " &amp; 'الجدول'!G93 &amp; CHAR(10) &amp; "• " &amp; 'الجدول'!G94 &amp; CHAR(10) &amp; "• " &amp; 'الجدول'!G95 &amp; CHAR(10) &amp; CHAR(10) &amp; "■■ " &amp; 'الجدول'!H1 &amp; " ■■" &amp; CHAR(10) &amp; "• " &amp; 'الجدول'!H89 &amp; CHAR(10) &amp; "• " &amp; 'الجدول'!H90 &amp; CHAR(10) &amp; "• " &amp; 'الجدول'!H91 &amp; CHAR(10) &amp; "• " &amp; 'الجدول'!H92 &amp; CHAR(10) &amp; "• " &amp; 'الجدول'!H93 &amp; CHAR(10) &amp; "• " &amp; 'الجدول'!H94 &amp; CHAR(10) &amp; "• " &amp; 'الجدول'!H95 &amp; CHAR(10) &amp; CHAR(10) &amp; "■■ " &amp; 'الجدول'!I1 &amp; " ■■" &amp; CHAR(10) &amp; "• " &amp; 'الجدول'!I89 &amp; CHAR(10) &amp; "• " &amp; 'الجدول'!I90 &amp; CHAR(10) &amp; "• " &amp; 'الجدول'!I91 &amp; CHAR(10) &amp; "• " &amp; 'الجدول'!I92 &amp; CHAR(10) &amp; "• " &amp; 'الجدول'!I93 &amp; CHAR(10) &amp; "• " &amp; 'الجدول'!I94 &amp; CHAR(10) &amp; "• " &amp; 'الجدول'!I95 &amp; CHAR(10) &amp; CHAR(10) &amp; "■■ " &amp; 'الجدول'!J1 &amp; " ■■" &amp; CHAR(10) &amp; "• " &amp; 'الجدول'!J89 &amp; CHAR(10) &amp; "• " &amp; 'الجدول'!J90 &amp; CHAR(10) &amp; "• " &amp; 'الجدول'!J91 &amp; CHAR(10) &amp; "• " &amp; 'الجدول'!J92 &amp; CHAR(10) &amp; "• " &amp; 'الجدول'!J93 &amp; CHAR(10) &amp; "• " &amp; 'الجدول'!J94 &amp; CHAR(10) &amp; "• " &amp; 'الجدول'!J95 &amp; CHAR(10) &amp; CHAR(10) &amp; "■■ " &amp; 'الجدول'!K1 &amp; " ■■" &amp; CHAR(10) &amp; "• " &amp; 'الجدول'!K89 &amp; CHAR(10) &amp; "• " &amp; 'الجدول'!K90 &amp; CHAR(10) &amp; "• " &amp; 'الجدول'!K91 &amp; CHAR(10) &amp; "• " &amp; 'الجدول'!K92 &amp; CHAR(10) &amp; "• " &amp; 'الجدول'!K93 &amp; CHAR(10) &amp; "• " &amp; 'الجدول'!K94 &amp; CHAR(10) &amp; "• " &amp; 'الجدول'!K95 &amp; CHAR(10) &amp; CHAR(10) &amp; "■■ " &amp; 'الجدول'!L1 &amp; " ■■" &amp; CHAR(10) &amp; "• " &amp; 'الجدول'!L89 &amp; CHAR(10) &amp; "• " &amp; 'الجدول'!L90 &amp; CHAR(10) &amp; "• " &amp; 'الجدول'!L91 &amp; CHAR(10) &amp; "• " &amp; 'الجدول'!L92 &amp; CHAR(10) &amp; "• " &amp; 'الجدول'!L93 &amp; CHAR(10) &amp; "• " &amp; 'الجدول'!L94 &amp; CHAR(10) &amp; "• " &amp; 'الجدول'!L95 &amp; CHAR(10) &amp; CHAR(10) &amp; "■■ " &amp; 'الجدول'!M1 &amp; " ■■" &amp; CHAR(10) &amp; "• " &amp; 'الجدول'!M89 &amp; CHAR(10) &amp; "• " &amp; 'الجدول'!M90 &amp; CHAR(10) &amp; "• " &amp; 'الجدول'!M91 &amp; CHAR(10) &amp; "• " &amp; 'الجدول'!M92 &amp; CHAR(10) &amp; "• " &amp; 'الجدول'!M93 &amp; CHAR(10) &amp; "• " &amp; 'الجدول'!M94 &amp; CHAR(10) &amp; "• " &amp; 'الجدول'!M95 &amp; CHAR(10) &amp; CHAR(10) &amp; "■■ " &amp; 'الجدول'!N1 &amp; " ■■" &amp; CHAR(10) &amp; "• " &amp; 'الجدول'!N89 &amp; CHAR(10) &amp; "• " &amp; 'الجدول'!N90 &amp; CHAR(10) &amp; "• " &amp; 'الجدول'!N91 &amp; CHAR(10) &amp; "• " &amp; 'الجدول'!N92 &amp; CHAR(10) &amp; "• " &amp; 'الجدول'!N93 &amp; CHAR(10) &amp; "• " &amp; 'الجدول'!N94 &amp; CHAR(10) &amp; "• " &amp; 'الجدول'!N95 &amp; CHAR(10) &amp; CHAR(10) &amp; "■■ " &amp; 'الجدول'!O1 &amp; " ■■" &amp; CHAR(10) &amp; "• " &amp; 'الجدول'!O89 &amp; CHAR(10) &amp; "• " &amp; 'الجدول'!O90 &amp; CHAR(10) &amp; "• " &amp; 'الجدول'!O91 &amp; CHAR(10) &amp; "• " &amp; 'الجدول'!O92 &amp; CHAR(10) &amp; "• " &amp; 'الجدول'!O93 &amp; CHAR(10) &amp; "• " &amp; 'الجدول'!O94 &amp; CHAR(10) &amp; "• " &amp; 'الجدول'!O95 &amp; CHAR(10) &amp; CHAR(10) &amp; "■■ " &amp; 'الجدول'!P1 &amp; " ■■" &amp; CHAR(10) &amp; "• " &amp; 'الجدول'!P89 &amp; CHAR(10) &amp; "• " &amp; 'الجدول'!P90 &amp; CHAR(10) &amp; "• " &amp; 'الجدول'!P91 &amp; CHAR(10) &amp; "• " &amp; 'الجدول'!P92 &amp; CHAR(10) &amp; "• " &amp; 'الجدول'!P93 &amp; CHAR(10) &amp; "• " &amp; 'الجدول'!P94 &amp; CHAR(10) &amp; "• " &amp; 'الجدول'!P95 &amp; CHAR(10) &amp; CHAR(10) &amp; "■■ " &amp; 'الجدول'!Q1 &amp; " ■■" &amp; CHAR(10) &amp; "• " &amp; 'الجدول'!Q89 &amp; CHAR(10) &amp; "• " &amp; 'الجدول'!Q90 &amp; CHAR(10) &amp; "• " &amp; 'الجدول'!Q91 &amp; CHAR(10) &amp; "• " &amp; 'الجدول'!Q92 &amp; CHAR(10) &amp; "• " &amp; 'الجدول'!Q93 &amp; CHAR(10) &amp; "• " &amp; 'الجدول'!Q94 &amp; CHAR(10) &amp; "• " &amp; 'الجدول'!Q95 &amp; CHAR(10) &amp; CHAR(10) &amp; "■■ " &amp; 'الجدول'!R1 &amp; " ■■" &amp; CHAR(10) &amp; "• " &amp; 'الجدول'!R89 &amp; CHAR(10) &amp; "• " &amp; 'الجدول'!R90 &amp; CHAR(10) &amp; "• " &amp; 'الجدول'!R91 &amp; CHAR(10) &amp; "• " &amp; 'الجدول'!R92 &amp; CHAR(10) &amp; "• " &amp; 'الجدول'!R93 &amp; CHAR(10) &amp; "• " &amp; 'الجدول'!R94 &amp; CHAR(10) &amp; "• " &amp; 'الجدول'!R95 &amp; CHAR(10) &amp; CHAR(10) &amp; "■■ " &amp; 'الجدول'!S1 &amp; " ■■" &amp; CHAR(10) &amp; "• " &amp; 'الجدول'!S89 &amp; CHAR(10) &amp; "• " &amp; 'الجدول'!S90 &amp; CHAR(10) &amp; "• " &amp; 'الجدول'!S91 &amp; CHAR(10) &amp; "• " &amp; 'الجدول'!S92 &amp; CHAR(10) &amp; "• " &amp; 'الجدول'!S93 &amp; CHAR(10) &amp; "• " &amp; 'الجدول'!S94 &amp; CHAR(10) &amp; "• " &amp; 'الجدول'!S95 &amp; CHAR(10) &amp; CHAR(10) &amp; "■■ " &amp; 'الجدول'!T1 &amp; " ■■" &amp; CHAR(10) &amp; "• " &amp; 'الجدول'!T89 &amp; CHAR(10) &amp; "• " &amp; 'الجدول'!T90 &amp; CHAR(10) &amp; "• " &amp; 'الجدول'!T91 &amp; CHAR(10) &amp; "• " &amp; 'الجدول'!T92 &amp; CHAR(10) &amp; "• " &amp; 'الجدول'!T93 &amp; CHAR(10) &amp; "• " &amp; 'الجدول'!T94 &amp; CHAR(10) &amp; "• " &amp; 'الجدول'!T95 &amp; CHAR(10) &amp; CHAR(10) &amp; "■■ " &amp; 'الجدول'!U1 &amp; " ■■" &amp; CHAR(10) &amp; "• " &amp; 'الجدول'!U89 &amp; CHAR(10) &amp; "• " &amp; 'الجدول'!U90 &amp; CHAR(10) &amp; "• " &amp; 'الجدول'!U91 &amp; CHAR(10) &amp; "• " &amp; 'الجدول'!U92 &amp; CHAR(10) &amp; "• " &amp; 'الجدول'!U93 &amp; CHAR(10) &amp; "• " &amp; 'الجدول'!U94 &amp; CHAR(10) &amp; "• " &amp; 'الجدول'!U95 &amp; CHAR(10) &amp; CHAR(10)</f>
        <v>■■ A) DAY CLINIC THEN OPERATIONS ■■
• ----------
• ----------
• ----------
• ----------
• ----------
• ----------
• ----------
■■ A) NIGHT OPERATIONS ■■
• ----------
• ----------
• ----------
• ----------
• ----------
• ----------
• ----------
■■ B) DAY SENIOR GENERAL ■■
• ----------
• ----------
• ----------
• ----------
• ----------
• ----------
• ----------
■■ B) NIGHT SENIOR GENERAL ■■
• ----------
• ----------
• ----------
• ----------
• ----------
• ----------
• ----------
■■ C) DAY ADMISSION ■■
• ----------
• ----------
• ----------
• ----------
• ----------
• ----------
• ----------
■■ C) NIGHT ADMISSION ■■
• ----------
• ----------
• ----------
• ----------
• ----------
• ----------
• ----------
■■ D) DAY GENERAL ■■
• ----------
• ----------
• ----------
• ----------
• ----------
• ----------
• ----------
■■ D) NIGHT GENERAL ■■
• ----------
• ----------
• ----------
• ----------
• ----------
• ----------
• ----------
■■ E) DAY SENIOR PT ■■
• ----------
• ----------
• ----------
• ----------
• ----------
• ----------
• ----------
■■ E) NIGHT SENIOR PT ■■
• ----------
• ----------
• ----------
• ----------
• ----------
• ----------
• ----------
■■ F) DAY PT ■■
• ----------
• ----------
• ----------
• ----------
• ----------
• ----------
• ----------
■■ F) NIGHT PT ■■
• ----------
• ----------
• ----------
• ----------
• ----------
• ----------
• ----------
■■ G) DAY WARD ■■
• ----------
• ----------
• ----------
• ----------
• ----------
• ----------
• ----------
■■ G) NIGHT WARD ■■
• ----------
• ----------
• ----------
• ----------
• ----------
• ----------
• ----------
■■ Shift ward 1-8pm ■■
• ----------
• ----------
• ----------
• ----------
• ----------
• ----------
• ----------
■■ شيفت صباحى ■■
• يوسف احمد يحيى
(01030652702)
• هبه محمد نجيب
(01507093786)
• Beshoy Botros
(01274308491)
• محمد محمد شرف
(01032029140)
• شاذلي مصطفي شاذلي رشيدي
(01023535267)
• شاذلى مصطفى الشاذلى 2
(01023535267)
• Hazem el zahry
(01103953859)
■■ شيفت صباحى ■■
• ----------
• ----------
• ----------
• ----------
• ----------
• ----------
• ----------
■■ شيفت مسائى ■■
• حسام سالم الداعور
(01123835996)
• محمد محمود عبدالسلام
(01152327499)
• تمارا خالد جمال الدين
(01096688868)
• Hazem el zahry
(01103953859)
• ----------
• ----------
• ----------
■■ شيفت مسائى ■■
• ----------
• ----------
• ----------
• ----------
• ----------
• ----------
• ----------
■■ ليستة ■■
• ----------
• ----------
• ----------
• ----------
• ----------
• ----------
• ----------
</v>
      </c>
      <c r="C20" s="3" t="str">
        <f>HYPERLINK("#الجدول!A" &amp; 88, "الجدول الأساسي")</f>
        <v>الجدول الأساسي</v>
      </c>
    </row>
    <row r="21" ht="15.75" customHeight="1">
      <c r="A21" s="1" t="s">
        <v>100</v>
      </c>
      <c r="B21" s="5" t="str">
        <f>"" &amp; "■■ " &amp; 'الجدول'!B1 &amp; " ■■" &amp; CHAR(10) &amp; "• " &amp; 'الجدول'!B96 &amp; CHAR(10) &amp; "• " &amp; 'الجدول'!B97 &amp; CHAR(10) &amp; "• " &amp; 'الجدول'!B98 &amp; CHAR(10) &amp; "• " &amp; 'الجدول'!B99 &amp; CHAR(10) &amp; CHAR(10) &amp; "■■ " &amp; 'الجدول'!C1 &amp; " ■■" &amp; CHAR(10) &amp; "• " &amp; 'الجدول'!C96 &amp; CHAR(10) &amp; "• " &amp; 'الجدول'!C97 &amp; CHAR(10) &amp; "• " &amp; 'الجدول'!C98 &amp; CHAR(10) &amp; "• " &amp; 'الجدول'!C99 &amp; CHAR(10) &amp; CHAR(10) &amp; "■■ " &amp; 'الجدول'!D1 &amp; " ■■" &amp; CHAR(10) &amp; "• " &amp; 'الجدول'!D96 &amp; CHAR(10) &amp; "• " &amp; 'الجدول'!D97 &amp; CHAR(10) &amp; "• " &amp; 'الجدول'!D98 &amp; CHAR(10) &amp; "• " &amp; 'الجدول'!D99 &amp; CHAR(10) &amp; CHAR(10) &amp; "■■ " &amp; 'الجدول'!E1 &amp; " ■■" &amp; CHAR(10) &amp; "• " &amp; 'الجدول'!E96 &amp; CHAR(10) &amp; "• " &amp; 'الجدول'!E97 &amp; CHAR(10) &amp; "• " &amp; 'الجدول'!E98 &amp; CHAR(10) &amp; "• " &amp; 'الجدول'!E99 &amp; CHAR(10) &amp; CHAR(10) &amp; "■■ " &amp; 'الجدول'!F1 &amp; " ■■" &amp; CHAR(10) &amp; "• " &amp; 'الجدول'!F96 &amp; CHAR(10) &amp; "• " &amp; 'الجدول'!F97 &amp; CHAR(10) &amp; "• " &amp; 'الجدول'!F98 &amp; CHAR(10) &amp; "• " &amp; 'الجدول'!F99 &amp; CHAR(10) &amp; CHAR(10) &amp; "■■ " &amp; 'الجدول'!G1 &amp; " ■■" &amp; CHAR(10) &amp; "• " &amp; 'الجدول'!G96 &amp; CHAR(10) &amp; "• " &amp; 'الجدول'!G97 &amp; CHAR(10) &amp; "• " &amp; 'الجدول'!G98 &amp; CHAR(10) &amp; "• " &amp; 'الجدول'!G99 &amp; CHAR(10) &amp; CHAR(10) &amp; "■■ " &amp; 'الجدول'!H1 &amp; " ■■" &amp; CHAR(10) &amp; "• " &amp; 'الجدول'!H96 &amp; CHAR(10) &amp; "• " &amp; 'الجدول'!H97 &amp; CHAR(10) &amp; "• " &amp; 'الجدول'!H98 &amp; CHAR(10) &amp; "• " &amp; 'الجدول'!H99 &amp; CHAR(10) &amp; CHAR(10) &amp; "■■ " &amp; 'الجدول'!I1 &amp; " ■■" &amp; CHAR(10) &amp; "• " &amp; 'الجدول'!I96 &amp; CHAR(10) &amp; "• " &amp; 'الجدول'!I97 &amp; CHAR(10) &amp; "• " &amp; 'الجدول'!I98 &amp; CHAR(10) &amp; "• " &amp; 'الجدول'!I99 &amp; CHAR(10) &amp; CHAR(10) &amp; "■■ " &amp; 'الجدول'!J1 &amp; " ■■" &amp; CHAR(10) &amp; "• " &amp; 'الجدول'!J96 &amp; CHAR(10) &amp; "• " &amp; 'الجدول'!J97 &amp; CHAR(10) &amp; "• " &amp; 'الجدول'!J98 &amp; CHAR(10) &amp; "• " &amp; 'الجدول'!J99 &amp; CHAR(10) &amp; CHAR(10) &amp; "■■ " &amp; 'الجدول'!K1 &amp; " ■■" &amp; CHAR(10) &amp; "• " &amp; 'الجدول'!K96 &amp; CHAR(10) &amp; "• " &amp; 'الجدول'!K97 &amp; CHAR(10) &amp; "• " &amp; 'الجدول'!K98 &amp; CHAR(10) &amp; "• " &amp; 'الجدول'!K99 &amp; CHAR(10) &amp; CHAR(10) &amp; "■■ " &amp; 'الجدول'!L1 &amp; " ■■" &amp; CHAR(10) &amp; "• " &amp; 'الجدول'!L96 &amp; CHAR(10) &amp; "• " &amp; 'الجدول'!L97 &amp; CHAR(10) &amp; "• " &amp; 'الجدول'!L98 &amp; CHAR(10) &amp; "• " &amp; 'الجدول'!L99 &amp; CHAR(10) &amp; CHAR(10) &amp; "■■ " &amp; 'الجدول'!M1 &amp; " ■■" &amp; CHAR(10) &amp; "• " &amp; 'الجدول'!M96 &amp; CHAR(10) &amp; "• " &amp; 'الجدول'!M97 &amp; CHAR(10) &amp; "• " &amp; 'الجدول'!M98 &amp; CHAR(10) &amp; "• " &amp; 'الجدول'!M99 &amp; CHAR(10) &amp; CHAR(10) &amp; "■■ " &amp; 'الجدول'!N1 &amp; " ■■" &amp; CHAR(10) &amp; "• " &amp; 'الجدول'!N96 &amp; CHAR(10) &amp; "• " &amp; 'الجدول'!N97 &amp; CHAR(10) &amp; "• " &amp; 'الجدول'!N98 &amp; CHAR(10) &amp; "• " &amp; 'الجدول'!N99 &amp; CHAR(10) &amp; CHAR(10) &amp; "■■ " &amp; 'الجدول'!O1 &amp; " ■■" &amp; CHAR(10) &amp; "• " &amp; 'الجدول'!O96 &amp; CHAR(10) &amp; "• " &amp; 'الجدول'!O97 &amp; CHAR(10) &amp; "• " &amp; 'الجدول'!O98 &amp; CHAR(10) &amp; "• " &amp; 'الجدول'!O99 &amp; CHAR(10) &amp; CHAR(10) &amp; "■■ " &amp; 'الجدول'!P1 &amp; " ■■" &amp; CHAR(10) &amp; "• " &amp; 'الجدول'!P96 &amp; CHAR(10) &amp; "• " &amp; 'الجدول'!P97 &amp; CHAR(10) &amp; "• " &amp; 'الجدول'!P98 &amp; CHAR(10) &amp; "• " &amp; 'الجدول'!P99 &amp; CHAR(10) &amp; CHAR(10) &amp; "■■ " &amp; 'الجدول'!Q1 &amp; " ■■" &amp; CHAR(10) &amp; "• " &amp; 'الجدول'!Q96 &amp; CHAR(10) &amp; "• " &amp; 'الجدول'!Q97 &amp; CHAR(10) &amp; "• " &amp; 'الجدول'!Q98 &amp; CHAR(10) &amp; "• " &amp; 'الجدول'!Q99 &amp; CHAR(10) &amp; CHAR(10) &amp; "■■ " &amp; 'الجدول'!R1 &amp; " ■■" &amp; CHAR(10) &amp; "• " &amp; 'الجدول'!R96 &amp; CHAR(10) &amp; "• " &amp; 'الجدول'!R97 &amp; CHAR(10) &amp; "• " &amp; 'الجدول'!R98 &amp; CHAR(10) &amp; "• " &amp; 'الجدول'!R99 &amp; CHAR(10) &amp; CHAR(10) &amp; "■■ " &amp; 'الجدول'!S1 &amp; " ■■" &amp; CHAR(10) &amp; "• " &amp; 'الجدول'!S96 &amp; CHAR(10) &amp; "• " &amp; 'الجدول'!S97 &amp; CHAR(10) &amp; "• " &amp; 'الجدول'!S98 &amp; CHAR(10) &amp; "• " &amp; 'الجدول'!S99 &amp; CHAR(10) &amp; CHAR(10) &amp; "■■ " &amp; 'الجدول'!T1 &amp; " ■■" &amp; CHAR(10) &amp; "• " &amp; 'الجدول'!T96 &amp; CHAR(10) &amp; "• " &amp; 'الجدول'!T97 &amp; CHAR(10) &amp; "• " &amp; 'الجدول'!T98 &amp; CHAR(10) &amp; "• " &amp; 'الجدول'!T99 &amp; CHAR(10) &amp; CHAR(10) &amp; "■■ " &amp; 'الجدول'!U1 &amp; " ■■" &amp; CHAR(10) &amp; "• " &amp; 'الجدول'!U96 &amp; CHAR(10) &amp; "• " &amp; 'الجدول'!U97 &amp; CHAR(10) &amp; "• " &amp; 'الجدول'!U98 &amp; CHAR(10) &amp; "• " &amp; 'الجدول'!U99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----------
• ----------
• ----------
• ----------
■■ شيفت صباحى ■■
• مصطفى رمضان مصطفى
(01274212921)
• عبدالرحمن عصام حلمى
(01028229796)
• مريم علاء محمود
(01001770021)
• عمر وليد محمد
(01062000026)
■■ شيفت مسائى ■■
• ----------
• ----------
• ----------
• ----------
■■ شيفت مسائى ■■
• نورهان ياسر عبدالمعز
(01063257329)
• محمد السيد سعد
(01110135622)
• يمنى جمال فتحي
(01040454689)
• ----------
■■ ليستة ■■
• ----------
• ----------
• ----------
• ----------
</v>
      </c>
      <c r="C21" s="3" t="str">
        <f>HYPERLINK("#الجدول!A" &amp; 95, "الجدول الأساسي")</f>
        <v>الجدول الأساسي</v>
      </c>
    </row>
    <row r="22" ht="15.75" customHeight="1">
      <c r="A22" s="1" t="s">
        <v>101</v>
      </c>
      <c r="B22" s="5" t="str">
        <f>"" &amp; "■■ " &amp; 'الجدول'!B1 &amp; " ■■" &amp; CHAR(10) &amp; "• " &amp; 'الجدول'!B100 &amp; CHAR(10) &amp; "• " &amp; 'الجدول'!B101 &amp; CHAR(10) &amp; "• " &amp; 'الجدول'!B102 &amp; CHAR(10) &amp; "• " &amp; 'الجدول'!B103 &amp; CHAR(10) &amp; CHAR(10) &amp; "■■ " &amp; 'الجدول'!C1 &amp; " ■■" &amp; CHAR(10) &amp; "• " &amp; 'الجدول'!C100 &amp; CHAR(10) &amp; "• " &amp; 'الجدول'!C101 &amp; CHAR(10) &amp; "• " &amp; 'الجدول'!C102 &amp; CHAR(10) &amp; "• " &amp; 'الجدول'!C103 &amp; CHAR(10) &amp; CHAR(10) &amp; "■■ " &amp; 'الجدول'!D1 &amp; " ■■" &amp; CHAR(10) &amp; "• " &amp; 'الجدول'!D100 &amp; CHAR(10) &amp; "• " &amp; 'الجدول'!D101 &amp; CHAR(10) &amp; "• " &amp; 'الجدول'!D102 &amp; CHAR(10) &amp; "• " &amp; 'الجدول'!D103 &amp; CHAR(10) &amp; CHAR(10) &amp; "■■ " &amp; 'الجدول'!E1 &amp; " ■■" &amp; CHAR(10) &amp; "• " &amp; 'الجدول'!E100 &amp; CHAR(10) &amp; "• " &amp; 'الجدول'!E101 &amp; CHAR(10) &amp; "• " &amp; 'الجدول'!E102 &amp; CHAR(10) &amp; "• " &amp; 'الجدول'!E103 &amp; CHAR(10) &amp; CHAR(10) &amp; "■■ " &amp; 'الجدول'!F1 &amp; " ■■" &amp; CHAR(10) &amp; "• " &amp; 'الجدول'!F100 &amp; CHAR(10) &amp; "• " &amp; 'الجدول'!F101 &amp; CHAR(10) &amp; "• " &amp; 'الجدول'!F102 &amp; CHAR(10) &amp; "• " &amp; 'الجدول'!F103 &amp; CHAR(10) &amp; CHAR(10) &amp; "■■ " &amp; 'الجدول'!G1 &amp; " ■■" &amp; CHAR(10) &amp; "• " &amp; 'الجدول'!G100 &amp; CHAR(10) &amp; "• " &amp; 'الجدول'!G101 &amp; CHAR(10) &amp; "• " &amp; 'الجدول'!G102 &amp; CHAR(10) &amp; "• " &amp; 'الجدول'!G103 &amp; CHAR(10) &amp; CHAR(10) &amp; "■■ " &amp; 'الجدول'!H1 &amp; " ■■" &amp; CHAR(10) &amp; "• " &amp; 'الجدول'!H100 &amp; CHAR(10) &amp; "• " &amp; 'الجدول'!H101 &amp; CHAR(10) &amp; "• " &amp; 'الجدول'!H102 &amp; CHAR(10) &amp; "• " &amp; 'الجدول'!H103 &amp; CHAR(10) &amp; CHAR(10) &amp; "■■ " &amp; 'الجدول'!I1 &amp; " ■■" &amp; CHAR(10) &amp; "• " &amp; 'الجدول'!I100 &amp; CHAR(10) &amp; "• " &amp; 'الجدول'!I101 &amp; CHAR(10) &amp; "• " &amp; 'الجدول'!I102 &amp; CHAR(10) &amp; "• " &amp; 'الجدول'!I103 &amp; CHAR(10) &amp; CHAR(10) &amp; "■■ " &amp; 'الجدول'!J1 &amp; " ■■" &amp; CHAR(10) &amp; "• " &amp; 'الجدول'!J100 &amp; CHAR(10) &amp; "• " &amp; 'الجدول'!J101 &amp; CHAR(10) &amp; "• " &amp; 'الجدول'!J102 &amp; CHAR(10) &amp; "• " &amp; 'الجدول'!J103 &amp; CHAR(10) &amp; CHAR(10) &amp; "■■ " &amp; 'الجدول'!K1 &amp; " ■■" &amp; CHAR(10) &amp; "• " &amp; 'الجدول'!K100 &amp; CHAR(10) &amp; "• " &amp; 'الجدول'!K101 &amp; CHAR(10) &amp; "• " &amp; 'الجدول'!K102 &amp; CHAR(10) &amp; "• " &amp; 'الجدول'!K103 &amp; CHAR(10) &amp; CHAR(10) &amp; "■■ " &amp; 'الجدول'!L1 &amp; " ■■" &amp; CHAR(10) &amp; "• " &amp; 'الجدول'!L100 &amp; CHAR(10) &amp; "• " &amp; 'الجدول'!L101 &amp; CHAR(10) &amp; "• " &amp; 'الجدول'!L102 &amp; CHAR(10) &amp; "• " &amp; 'الجدول'!L103 &amp; CHAR(10) &amp; CHAR(10) &amp; "■■ " &amp; 'الجدول'!M1 &amp; " ■■" &amp; CHAR(10) &amp; "• " &amp; 'الجدول'!M100 &amp; CHAR(10) &amp; "• " &amp; 'الجدول'!M101 &amp; CHAR(10) &amp; "• " &amp; 'الجدول'!M102 &amp; CHAR(10) &amp; "• " &amp; 'الجدول'!M103 &amp; CHAR(10) &amp; CHAR(10) &amp; "■■ " &amp; 'الجدول'!N1 &amp; " ■■" &amp; CHAR(10) &amp; "• " &amp; 'الجدول'!N100 &amp; CHAR(10) &amp; "• " &amp; 'الجدول'!N101 &amp; CHAR(10) &amp; "• " &amp; 'الجدول'!N102 &amp; CHAR(10) &amp; "• " &amp; 'الجدول'!N103 &amp; CHAR(10) &amp; CHAR(10) &amp; "■■ " &amp; 'الجدول'!O1 &amp; " ■■" &amp; CHAR(10) &amp; "• " &amp; 'الجدول'!O100 &amp; CHAR(10) &amp; "• " &amp; 'الجدول'!O101 &amp; CHAR(10) &amp; "• " &amp; 'الجدول'!O102 &amp; CHAR(10) &amp; "• " &amp; 'الجدول'!O103 &amp; CHAR(10) &amp; CHAR(10) &amp; "■■ " &amp; 'الجدول'!P1 &amp; " ■■" &amp; CHAR(10) &amp; "• " &amp; 'الجدول'!P100 &amp; CHAR(10) &amp; "• " &amp; 'الجدول'!P101 &amp; CHAR(10) &amp; "• " &amp; 'الجدول'!P102 &amp; CHAR(10) &amp; "• " &amp; 'الجدول'!P103 &amp; CHAR(10) &amp; CHAR(10) &amp; "■■ " &amp; 'الجدول'!Q1 &amp; " ■■" &amp; CHAR(10) &amp; "• " &amp; 'الجدول'!Q100 &amp; CHAR(10) &amp; "• " &amp; 'الجدول'!Q101 &amp; CHAR(10) &amp; "• " &amp; 'الجدول'!Q102 &amp; CHAR(10) &amp; "• " &amp; 'الجدول'!Q103 &amp; CHAR(10) &amp; CHAR(10) &amp; "■■ " &amp; 'الجدول'!R1 &amp; " ■■" &amp; CHAR(10) &amp; "• " &amp; 'الجدول'!R100 &amp; CHAR(10) &amp; "• " &amp; 'الجدول'!R101 &amp; CHAR(10) &amp; "• " &amp; 'الجدول'!R102 &amp; CHAR(10) &amp; "• " &amp; 'الجدول'!R103 &amp; CHAR(10) &amp; CHAR(10) &amp; "■■ " &amp; 'الجدول'!S1 &amp; " ■■" &amp; CHAR(10) &amp; "• " &amp; 'الجدول'!S100 &amp; CHAR(10) &amp; "• " &amp; 'الجدول'!S101 &amp; CHAR(10) &amp; "• " &amp; 'الجدول'!S102 &amp; CHAR(10) &amp; "• " &amp; 'الجدول'!S103 &amp; CHAR(10) &amp; CHAR(10) &amp; "■■ " &amp; 'الجدول'!T1 &amp; " ■■" &amp; CHAR(10) &amp; "• " &amp; 'الجدول'!T100 &amp; CHAR(10) &amp; "• " &amp; 'الجدول'!T101 &amp; CHAR(10) &amp; "• " &amp; 'الجدول'!T102 &amp; CHAR(10) &amp; "• " &amp; 'الجدول'!T103 &amp; CHAR(10) &amp; CHAR(10) &amp; "■■ " &amp; 'الجدول'!U1 &amp; " ■■" &amp; CHAR(10) &amp; "• " &amp; 'الجدول'!U100 &amp; CHAR(10) &amp; "• " &amp; 'الجدول'!U101 &amp; CHAR(10) &amp; "• " &amp; 'الجدول'!U102 &amp; CHAR(10) &amp; "• " &amp; 'الجدول'!U103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هبه محمد نجيب
(01507093786)
• سلوى نبيل متولي
(01116383438)
• ReHab Nasser Khamis
(01159448250)
• Hasnaa gamal
(01111693084)
■■ شيفت صباحى ■■
• ----------
• ----------
• ----------
• ----------
■■ شيفت مسائى ■■
• عمر سراج الدين فتحي
(01142862330)
• جهاد محمد السيد
(01011294223)
• ميار مسعد توفيق
(01153028000)
• ----------
■■ شيفت مسائى ■■
• ----------
• ----------
• ----------
• ----------
■■ ليستة ■■
• ----------
• ----------
• ----------
• ----------
</v>
      </c>
      <c r="C22" s="3" t="str">
        <f>HYPERLINK("#الجدول!A" &amp; 99, "الجدول الأساسي")</f>
        <v>الجدول الأساسي</v>
      </c>
    </row>
    <row r="23" ht="15.75" customHeight="1">
      <c r="A23" s="1" t="s">
        <v>102</v>
      </c>
      <c r="B23" s="5" t="str">
        <f>"" &amp; "■■ " &amp; 'الجدول'!B1 &amp; " ■■" &amp; CHAR(10) &amp; "• " &amp; 'الجدول'!B104 &amp; CHAR(10) &amp; "• " &amp; 'الجدول'!B105 &amp; CHAR(10) &amp; "• " &amp; 'الجدول'!B106 &amp; CHAR(10) &amp; "• " &amp; 'الجدول'!B107 &amp; CHAR(10) &amp; CHAR(10) &amp; "■■ " &amp; 'الجدول'!C1 &amp; " ■■" &amp; CHAR(10) &amp; "• " &amp; 'الجدول'!C104 &amp; CHAR(10) &amp; "• " &amp; 'الجدول'!C105 &amp; CHAR(10) &amp; "• " &amp; 'الجدول'!C106 &amp; CHAR(10) &amp; "• " &amp; 'الجدول'!C107 &amp; CHAR(10) &amp; CHAR(10) &amp; "■■ " &amp; 'الجدول'!D1 &amp; " ■■" &amp; CHAR(10) &amp; "• " &amp; 'الجدول'!D104 &amp; CHAR(10) &amp; "• " &amp; 'الجدول'!D105 &amp; CHAR(10) &amp; "• " &amp; 'الجدول'!D106 &amp; CHAR(10) &amp; "• " &amp; 'الجدول'!D107 &amp; CHAR(10) &amp; CHAR(10) &amp; "■■ " &amp; 'الجدول'!E1 &amp; " ■■" &amp; CHAR(10) &amp; "• " &amp; 'الجدول'!E104 &amp; CHAR(10) &amp; "• " &amp; 'الجدول'!E105 &amp; CHAR(10) &amp; "• " &amp; 'الجدول'!E106 &amp; CHAR(10) &amp; "• " &amp; 'الجدول'!E107 &amp; CHAR(10) &amp; CHAR(10) &amp; "■■ " &amp; 'الجدول'!F1 &amp; " ■■" &amp; CHAR(10) &amp; "• " &amp; 'الجدول'!F104 &amp; CHAR(10) &amp; "• " &amp; 'الجدول'!F105 &amp; CHAR(10) &amp; "• " &amp; 'الجدول'!F106 &amp; CHAR(10) &amp; "• " &amp; 'الجدول'!F107 &amp; CHAR(10) &amp; CHAR(10) &amp; "■■ " &amp; 'الجدول'!G1 &amp; " ■■" &amp; CHAR(10) &amp; "• " &amp; 'الجدول'!G104 &amp; CHAR(10) &amp; "• " &amp; 'الجدول'!G105 &amp; CHAR(10) &amp; "• " &amp; 'الجدول'!G106 &amp; CHAR(10) &amp; "• " &amp; 'الجدول'!G107 &amp; CHAR(10) &amp; CHAR(10) &amp; "■■ " &amp; 'الجدول'!H1 &amp; " ■■" &amp; CHAR(10) &amp; "• " &amp; 'الجدول'!H104 &amp; CHAR(10) &amp; "• " &amp; 'الجدول'!H105 &amp; CHAR(10) &amp; "• " &amp; 'الجدول'!H106 &amp; CHAR(10) &amp; "• " &amp; 'الجدول'!H107 &amp; CHAR(10) &amp; CHAR(10) &amp; "■■ " &amp; 'الجدول'!I1 &amp; " ■■" &amp; CHAR(10) &amp; "• " &amp; 'الجدول'!I104 &amp; CHAR(10) &amp; "• " &amp; 'الجدول'!I105 &amp; CHAR(10) &amp; "• " &amp; 'الجدول'!I106 &amp; CHAR(10) &amp; "• " &amp; 'الجدول'!I107 &amp; CHAR(10) &amp; CHAR(10) &amp; "■■ " &amp; 'الجدول'!J1 &amp; " ■■" &amp; CHAR(10) &amp; "• " &amp; 'الجدول'!J104 &amp; CHAR(10) &amp; "• " &amp; 'الجدول'!J105 &amp; CHAR(10) &amp; "• " &amp; 'الجدول'!J106 &amp; CHAR(10) &amp; "• " &amp; 'الجدول'!J107 &amp; CHAR(10) &amp; CHAR(10) &amp; "■■ " &amp; 'الجدول'!K1 &amp; " ■■" &amp; CHAR(10) &amp; "• " &amp; 'الجدول'!K104 &amp; CHAR(10) &amp; "• " &amp; 'الجدول'!K105 &amp; CHAR(10) &amp; "• " &amp; 'الجدول'!K106 &amp; CHAR(10) &amp; "• " &amp; 'الجدول'!K107 &amp; CHAR(10) &amp; CHAR(10) &amp; "■■ " &amp; 'الجدول'!L1 &amp; " ■■" &amp; CHAR(10) &amp; "• " &amp; 'الجدول'!L104 &amp; CHAR(10) &amp; "• " &amp; 'الجدول'!L105 &amp; CHAR(10) &amp; "• " &amp; 'الجدول'!L106 &amp; CHAR(10) &amp; "• " &amp; 'الجدول'!L107 &amp; CHAR(10) &amp; CHAR(10) &amp; "■■ " &amp; 'الجدول'!M1 &amp; " ■■" &amp; CHAR(10) &amp; "• " &amp; 'الجدول'!M104 &amp; CHAR(10) &amp; "• " &amp; 'الجدول'!M105 &amp; CHAR(10) &amp; "• " &amp; 'الجدول'!M106 &amp; CHAR(10) &amp; "• " &amp; 'الجدول'!M107 &amp; CHAR(10) &amp; CHAR(10) &amp; "■■ " &amp; 'الجدول'!N1 &amp; " ■■" &amp; CHAR(10) &amp; "• " &amp; 'الجدول'!N104 &amp; CHAR(10) &amp; "• " &amp; 'الجدول'!N105 &amp; CHAR(10) &amp; "• " &amp; 'الجدول'!N106 &amp; CHAR(10) &amp; "• " &amp; 'الجدول'!N107 &amp; CHAR(10) &amp; CHAR(10) &amp; "■■ " &amp; 'الجدول'!O1 &amp; " ■■" &amp; CHAR(10) &amp; "• " &amp; 'الجدول'!O104 &amp; CHAR(10) &amp; "• " &amp; 'الجدول'!O105 &amp; CHAR(10) &amp; "• " &amp; 'الجدول'!O106 &amp; CHAR(10) &amp; "• " &amp; 'الجدول'!O107 &amp; CHAR(10) &amp; CHAR(10) &amp; "■■ " &amp; 'الجدول'!P1 &amp; " ■■" &amp; CHAR(10) &amp; "• " &amp; 'الجدول'!P104 &amp; CHAR(10) &amp; "• " &amp; 'الجدول'!P105 &amp; CHAR(10) &amp; "• " &amp; 'الجدول'!P106 &amp; CHAR(10) &amp; "• " &amp; 'الجدول'!P107 &amp; CHAR(10) &amp; CHAR(10) &amp; "■■ " &amp; 'الجدول'!Q1 &amp; " ■■" &amp; CHAR(10) &amp; "• " &amp; 'الجدول'!Q104 &amp; CHAR(10) &amp; "• " &amp; 'الجدول'!Q105 &amp; CHAR(10) &amp; "• " &amp; 'الجدول'!Q106 &amp; CHAR(10) &amp; "• " &amp; 'الجدول'!Q107 &amp; CHAR(10) &amp; CHAR(10) &amp; "■■ " &amp; 'الجدول'!R1 &amp; " ■■" &amp; CHAR(10) &amp; "• " &amp; 'الجدول'!R104 &amp; CHAR(10) &amp; "• " &amp; 'الجدول'!R105 &amp; CHAR(10) &amp; "• " &amp; 'الجدول'!R106 &amp; CHAR(10) &amp; "• " &amp; 'الجدول'!R107 &amp; CHAR(10) &amp; CHAR(10) &amp; "■■ " &amp; 'الجدول'!S1 &amp; " ■■" &amp; CHAR(10) &amp; "• " &amp; 'الجدول'!S104 &amp; CHAR(10) &amp; "• " &amp; 'الجدول'!S105 &amp; CHAR(10) &amp; "• " &amp; 'الجدول'!S106 &amp; CHAR(10) &amp; "• " &amp; 'الجدول'!S107 &amp; CHAR(10) &amp; CHAR(10) &amp; "■■ " &amp; 'الجدول'!T1 &amp; " ■■" &amp; CHAR(10) &amp; "• " &amp; 'الجدول'!T104 &amp; CHAR(10) &amp; "• " &amp; 'الجدول'!T105 &amp; CHAR(10) &amp; "• " &amp; 'الجدول'!T106 &amp; CHAR(10) &amp; "• " &amp; 'الجدول'!T107 &amp; CHAR(10) &amp; CHAR(10) &amp; "■■ " &amp; 'الجدول'!U1 &amp; " ■■" &amp; CHAR(10) &amp; "• " &amp; 'الجدول'!U104 &amp; CHAR(10) &amp; "• " &amp; 'الجدول'!U105 &amp; CHAR(10) &amp; "• " &amp; 'الجدول'!U106 &amp; CHAR(10) &amp; "• " &amp; 'الجدول'!U107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احمد رزق
(٠١٠٠٢٣٣٥٤٨٦)
• Mahinour Ashraf Soud
(01068470463)
• عبدالرحمن عصام حلمى
(01028229796)
• حسام سالم الداعور
(01123835996)
■■ شيفت صباحى ■■
• ----------
• ----------
• ----------
• ----------
■■ شيفت مسائى ■■
• عمر سراج الدين فتحي
(01142862330)
• أحمد محمد أحمد
(01112122129)
• عائشة عمرو قرشي
(01002171719)
• ----------
■■ شيفت مسائى ■■
• ----------
• ----------
• ----------
• ----------
■■ ليستة ■■
• محمود سليم عاشور
(01107286243)
• يوسف احمد يحيى
(01030652702)
• ----------
• ----------
</v>
      </c>
      <c r="C23" s="3" t="str">
        <f>HYPERLINK("#الجدول!A" &amp; 103, "الجدول الأساسي")</f>
        <v>الجدول الأساسي</v>
      </c>
    </row>
    <row r="24" ht="15.75" customHeight="1">
      <c r="A24" s="1" t="s">
        <v>103</v>
      </c>
      <c r="B24" s="5" t="str">
        <f>"" &amp; "■■ " &amp; 'الجدول'!B1 &amp; " ■■" &amp; CHAR(10) &amp; "• " &amp; 'الجدول'!B108 &amp; CHAR(10) &amp; "• " &amp; 'الجدول'!B109 &amp; CHAR(10) &amp; "• " &amp; 'الجدول'!B110 &amp; CHAR(10) &amp; "• " &amp; 'الجدول'!B111 &amp; CHAR(10) &amp; CHAR(10) &amp; "■■ " &amp; 'الجدول'!C1 &amp; " ■■" &amp; CHAR(10) &amp; "• " &amp; 'الجدول'!C108 &amp; CHAR(10) &amp; "• " &amp; 'الجدول'!C109 &amp; CHAR(10) &amp; "• " &amp; 'الجدول'!C110 &amp; CHAR(10) &amp; "• " &amp; 'الجدول'!C111 &amp; CHAR(10) &amp; CHAR(10) &amp; "■■ " &amp; 'الجدول'!D1 &amp; " ■■" &amp; CHAR(10) &amp; "• " &amp; 'الجدول'!D108 &amp; CHAR(10) &amp; "• " &amp; 'الجدول'!D109 &amp; CHAR(10) &amp; "• " &amp; 'الجدول'!D110 &amp; CHAR(10) &amp; "• " &amp; 'الجدول'!D111 &amp; CHAR(10) &amp; CHAR(10) &amp; "■■ " &amp; 'الجدول'!E1 &amp; " ■■" &amp; CHAR(10) &amp; "• " &amp; 'الجدول'!E108 &amp; CHAR(10) &amp; "• " &amp; 'الجدول'!E109 &amp; CHAR(10) &amp; "• " &amp; 'الجدول'!E110 &amp; CHAR(10) &amp; "• " &amp; 'الجدول'!E111 &amp; CHAR(10) &amp; CHAR(10) &amp; "■■ " &amp; 'الجدول'!F1 &amp; " ■■" &amp; CHAR(10) &amp; "• " &amp; 'الجدول'!F108 &amp; CHAR(10) &amp; "• " &amp; 'الجدول'!F109 &amp; CHAR(10) &amp; "• " &amp; 'الجدول'!F110 &amp; CHAR(10) &amp; "• " &amp; 'الجدول'!F111 &amp; CHAR(10) &amp; CHAR(10) &amp; "■■ " &amp; 'الجدول'!G1 &amp; " ■■" &amp; CHAR(10) &amp; "• " &amp; 'الجدول'!G108 &amp; CHAR(10) &amp; "• " &amp; 'الجدول'!G109 &amp; CHAR(10) &amp; "• " &amp; 'الجدول'!G110 &amp; CHAR(10) &amp; "• " &amp; 'الجدول'!G111 &amp; CHAR(10) &amp; CHAR(10) &amp; "■■ " &amp; 'الجدول'!H1 &amp; " ■■" &amp; CHAR(10) &amp; "• " &amp; 'الجدول'!H108 &amp; CHAR(10) &amp; "• " &amp; 'الجدول'!H109 &amp; CHAR(10) &amp; "• " &amp; 'الجدول'!H110 &amp; CHAR(10) &amp; "• " &amp; 'الجدول'!H111 &amp; CHAR(10) &amp; CHAR(10) &amp; "■■ " &amp; 'الجدول'!I1 &amp; " ■■" &amp; CHAR(10) &amp; "• " &amp; 'الجدول'!I108 &amp; CHAR(10) &amp; "• " &amp; 'الجدول'!I109 &amp; CHAR(10) &amp; "• " &amp; 'الجدول'!I110 &amp; CHAR(10) &amp; "• " &amp; 'الجدول'!I111 &amp; CHAR(10) &amp; CHAR(10) &amp; "■■ " &amp; 'الجدول'!J1 &amp; " ■■" &amp; CHAR(10) &amp; "• " &amp; 'الجدول'!J108 &amp; CHAR(10) &amp; "• " &amp; 'الجدول'!J109 &amp; CHAR(10) &amp; "• " &amp; 'الجدول'!J110 &amp; CHAR(10) &amp; "• " &amp; 'الجدول'!J111 &amp; CHAR(10) &amp; CHAR(10) &amp; "■■ " &amp; 'الجدول'!K1 &amp; " ■■" &amp; CHAR(10) &amp; "• " &amp; 'الجدول'!K108 &amp; CHAR(10) &amp; "• " &amp; 'الجدول'!K109 &amp; CHAR(10) &amp; "• " &amp; 'الجدول'!K110 &amp; CHAR(10) &amp; "• " &amp; 'الجدول'!K111 &amp; CHAR(10) &amp; CHAR(10) &amp; "■■ " &amp; 'الجدول'!L1 &amp; " ■■" &amp; CHAR(10) &amp; "• " &amp; 'الجدول'!L108 &amp; CHAR(10) &amp; "• " &amp; 'الجدول'!L109 &amp; CHAR(10) &amp; "• " &amp; 'الجدول'!L110 &amp; CHAR(10) &amp; "• " &amp; 'الجدول'!L111 &amp; CHAR(10) &amp; CHAR(10) &amp; "■■ " &amp; 'الجدول'!M1 &amp; " ■■" &amp; CHAR(10) &amp; "• " &amp; 'الجدول'!M108 &amp; CHAR(10) &amp; "• " &amp; 'الجدول'!M109 &amp; CHAR(10) &amp; "• " &amp; 'الجدول'!M110 &amp; CHAR(10) &amp; "• " &amp; 'الجدول'!M111 &amp; CHAR(10) &amp; CHAR(10) &amp; "■■ " &amp; 'الجدول'!N1 &amp; " ■■" &amp; CHAR(10) &amp; "• " &amp; 'الجدول'!N108 &amp; CHAR(10) &amp; "• " &amp; 'الجدول'!N109 &amp; CHAR(10) &amp; "• " &amp; 'الجدول'!N110 &amp; CHAR(10) &amp; "• " &amp; 'الجدول'!N111 &amp; CHAR(10) &amp; CHAR(10) &amp; "■■ " &amp; 'الجدول'!O1 &amp; " ■■" &amp; CHAR(10) &amp; "• " &amp; 'الجدول'!O108 &amp; CHAR(10) &amp; "• " &amp; 'الجدول'!O109 &amp; CHAR(10) &amp; "• " &amp; 'الجدول'!O110 &amp; CHAR(10) &amp; "• " &amp; 'الجدول'!O111 &amp; CHAR(10) &amp; CHAR(10) &amp; "■■ " &amp; 'الجدول'!P1 &amp; " ■■" &amp; CHAR(10) &amp; "• " &amp; 'الجدول'!P108 &amp; CHAR(10) &amp; "• " &amp; 'الجدول'!P109 &amp; CHAR(10) &amp; "• " &amp; 'الجدول'!P110 &amp; CHAR(10) &amp; "• " &amp; 'الجدول'!P111 &amp; CHAR(10) &amp; CHAR(10) &amp; "■■ " &amp; 'الجدول'!Q1 &amp; " ■■" &amp; CHAR(10) &amp; "• " &amp; 'الجدول'!Q108 &amp; CHAR(10) &amp; "• " &amp; 'الجدول'!Q109 &amp; CHAR(10) &amp; "• " &amp; 'الجدول'!Q110 &amp; CHAR(10) &amp; "• " &amp; 'الجدول'!Q111 &amp; CHAR(10) &amp; CHAR(10) &amp; "■■ " &amp; 'الجدول'!R1 &amp; " ■■" &amp; CHAR(10) &amp; "• " &amp; 'الجدول'!R108 &amp; CHAR(10) &amp; "• " &amp; 'الجدول'!R109 &amp; CHAR(10) &amp; "• " &amp; 'الجدول'!R110 &amp; CHAR(10) &amp; "• " &amp; 'الجدول'!R111 &amp; CHAR(10) &amp; CHAR(10) &amp; "■■ " &amp; 'الجدول'!S1 &amp; " ■■" &amp; CHAR(10) &amp; "• " &amp; 'الجدول'!S108 &amp; CHAR(10) &amp; "• " &amp; 'الجدول'!S109 &amp; CHAR(10) &amp; "• " &amp; 'الجدول'!S110 &amp; CHAR(10) &amp; "• " &amp; 'الجدول'!S111 &amp; CHAR(10) &amp; CHAR(10) &amp; "■■ " &amp; 'الجدول'!T1 &amp; " ■■" &amp; CHAR(10) &amp; "• " &amp; 'الجدول'!T108 &amp; CHAR(10) &amp; "• " &amp; 'الجدول'!T109 &amp; CHAR(10) &amp; "• " &amp; 'الجدول'!T110 &amp; CHAR(10) &amp; "• " &amp; 'الجدول'!T111 &amp; CHAR(10) &amp; CHAR(10) &amp; "■■ " &amp; 'الجدول'!U1 &amp; " ■■" &amp; CHAR(10) &amp; "• " &amp; 'الجدول'!U108 &amp; CHAR(10) &amp; "• " &amp; 'الجدول'!U109 &amp; CHAR(10) &amp; "• " &amp; 'الجدول'!U110 &amp; CHAR(10) &amp; "• " &amp; 'الجدول'!U111 &amp; CHAR(10) &amp; CHAR(10)</f>
        <v>■■ A) DAY CLINIC THEN OPERATIONS ■■
• ----------
• ----------
• ----------
• ----------
■■ A) NIGHT OPERATIONS ■■
• ----------
• ----------
• ----------
• ----------
■■ B) DAY SENIOR GENERAL ■■
• ----------
• ----------
• ----------
• ----------
■■ B) NIGHT SENIOR GENERAL ■■
• ----------
• ----------
• ----------
• ----------
■■ C) DAY ADMISSION ■■
• ----------
• ----------
• ----------
• ----------
■■ C) NIGHT ADMISSION ■■
• ----------
• ----------
• ----------
• ----------
■■ D) DAY GENERAL ■■
• ----------
• ----------
• ----------
• ----------
■■ D) NIGHT GENERAL ■■
• ----------
• ----------
• ----------
• ----------
■■ E) DAY SENIOR PT ■■
• ----------
• ----------
• ----------
• ----------
■■ E) NIGHT SENIOR PT ■■
• ----------
• ----------
• ----------
• ----------
■■ F) DAY PT ■■
• ----------
• ----------
• ----------
• ----------
■■ F) NIGHT PT ■■
• ----------
• ----------
• ----------
• ----------
■■ G) DAY WARD ■■
• ----------
• ----------
• ----------
• ----------
■■ G) NIGHT WARD ■■
• ----------
• ----------
• ----------
• ----------
■■ Shift ward 1-8pm ■■
• ----------
• ----------
• ----------
• ----------
■■ شيفت صباحى ■■
• Nada Mohamed Ahmed
(01141380592)
• فؤاد أحمد عبدالمنعم
(01091535003)
• عمر محمد عبد الفتاح
(01102262698)
• مروان عبد المقصود نصر
(01272940086)
■■ شيفت صباحى ■■
• ----------
• ----------
• ----------
• ----------
■■ شيفت مسائى ■■
• عبدالرحمن رمضان رزق
(01098897354)
• ميار مسعد توفيق
(01153028000)
• كمال فضل محمد
(01102343017)
• ----------
■■ شيفت مسائى ■■
• ----------
• ----------
• ----------
• ----------
■■ ليستة ■■
• احمد رزق
(٠١٠٠٢٣٣٥٤٨٦)
• حنين احمد  علي
(01092469321)
• ----------
• ----------
</v>
      </c>
      <c r="C24" s="3" t="str">
        <f>HYPERLINK("#الجدول!A" &amp; 107, "الجدول الأساسي")</f>
        <v>الجدول الأساسي</v>
      </c>
    </row>
    <row r="25" ht="15.75" customHeight="1">
      <c r="A25" s="1" t="s">
        <v>104</v>
      </c>
      <c r="B25" s="5" t="str">
        <f>"" &amp; "■■ " &amp; 'الجدول'!B1 &amp; " ■■" &amp; CHAR(10) &amp; "• " &amp; 'الجدول'!B112 &amp; CHAR(10) &amp; "• " &amp; 'الجدول'!B113 &amp; CHAR(10) &amp; "• " &amp; 'الجدول'!B114 &amp; CHAR(10) &amp; CHAR(10) &amp; "■■ " &amp; 'الجدول'!C1 &amp; " ■■" &amp; CHAR(10) &amp; "• " &amp; 'الجدول'!C112 &amp; CHAR(10) &amp; "• " &amp; 'الجدول'!C113 &amp; CHAR(10) &amp; "• " &amp; 'الجدول'!C114 &amp; CHAR(10) &amp; CHAR(10) &amp; "■■ " &amp; 'الجدول'!D1 &amp; " ■■" &amp; CHAR(10) &amp; "• " &amp; 'الجدول'!D112 &amp; CHAR(10) &amp; "• " &amp; 'الجدول'!D113 &amp; CHAR(10) &amp; "• " &amp; 'الجدول'!D114 &amp; CHAR(10) &amp; CHAR(10) &amp; "■■ " &amp; 'الجدول'!E1 &amp; " ■■" &amp; CHAR(10) &amp; "• " &amp; 'الجدول'!E112 &amp; CHAR(10) &amp; "• " &amp; 'الجدول'!E113 &amp; CHAR(10) &amp; "• " &amp; 'الجدول'!E114 &amp; CHAR(10) &amp; CHAR(10) &amp; "■■ " &amp; 'الجدول'!F1 &amp; " ■■" &amp; CHAR(10) &amp; "• " &amp; 'الجدول'!F112 &amp; CHAR(10) &amp; "• " &amp; 'الجدول'!F113 &amp; CHAR(10) &amp; "• " &amp; 'الجدول'!F114 &amp; CHAR(10) &amp; CHAR(10) &amp; "■■ " &amp; 'الجدول'!G1 &amp; " ■■" &amp; CHAR(10) &amp; "• " &amp; 'الجدول'!G112 &amp; CHAR(10) &amp; "• " &amp; 'الجدول'!G113 &amp; CHAR(10) &amp; "• " &amp; 'الجدول'!G114 &amp; CHAR(10) &amp; CHAR(10) &amp; "■■ " &amp; 'الجدول'!H1 &amp; " ■■" &amp; CHAR(10) &amp; "• " &amp; 'الجدول'!H112 &amp; CHAR(10) &amp; "• " &amp; 'الجدول'!H113 &amp; CHAR(10) &amp; "• " &amp; 'الجدول'!H114 &amp; CHAR(10) &amp; CHAR(10) &amp; "■■ " &amp; 'الجدول'!I1 &amp; " ■■" &amp; CHAR(10) &amp; "• " &amp; 'الجدول'!I112 &amp; CHAR(10) &amp; "• " &amp; 'الجدول'!I113 &amp; CHAR(10) &amp; "• " &amp; 'الجدول'!I114 &amp; CHAR(10) &amp; CHAR(10) &amp; "■■ " &amp; 'الجدول'!J1 &amp; " ■■" &amp; CHAR(10) &amp; "• " &amp; 'الجدول'!J112 &amp; CHAR(10) &amp; "• " &amp; 'الجدول'!J113 &amp; CHAR(10) &amp; "• " &amp; 'الجدول'!J114 &amp; CHAR(10) &amp; CHAR(10) &amp; "■■ " &amp; 'الجدول'!K1 &amp; " ■■" &amp; CHAR(10) &amp; "• " &amp; 'الجدول'!K112 &amp; CHAR(10) &amp; "• " &amp; 'الجدول'!K113 &amp; CHAR(10) &amp; "• " &amp; 'الجدول'!K114 &amp; CHAR(10) &amp; CHAR(10) &amp; "■■ " &amp; 'الجدول'!L1 &amp; " ■■" &amp; CHAR(10) &amp; "• " &amp; 'الجدول'!L112 &amp; CHAR(10) &amp; "• " &amp; 'الجدول'!L113 &amp; CHAR(10) &amp; "• " &amp; 'الجدول'!L114 &amp; CHAR(10) &amp; CHAR(10) &amp; "■■ " &amp; 'الجدول'!M1 &amp; " ■■" &amp; CHAR(10) &amp; "• " &amp; 'الجدول'!M112 &amp; CHAR(10) &amp; "• " &amp; 'الجدول'!M113 &amp; CHAR(10) &amp; "• " &amp; 'الجدول'!M114 &amp; CHAR(10) &amp; CHAR(10) &amp; "■■ " &amp; 'الجدول'!N1 &amp; " ■■" &amp; CHAR(10) &amp; "• " &amp; 'الجدول'!N112 &amp; CHAR(10) &amp; "• " &amp; 'الجدول'!N113 &amp; CHAR(10) &amp; "• " &amp; 'الجدول'!N114 &amp; CHAR(10) &amp; CHAR(10) &amp; "■■ " &amp; 'الجدول'!O1 &amp; " ■■" &amp; CHAR(10) &amp; "• " &amp; 'الجدول'!O112 &amp; CHAR(10) &amp; "• " &amp; 'الجدول'!O113 &amp; CHAR(10) &amp; "• " &amp; 'الجدول'!O114 &amp; CHAR(10) &amp; CHAR(10) &amp; "■■ " &amp; 'الجدول'!P1 &amp; " ■■" &amp; CHAR(10) &amp; "• " &amp; 'الجدول'!P112 &amp; CHAR(10) &amp; "• " &amp; 'الجدول'!P113 &amp; CHAR(10) &amp; "• " &amp; 'الجدول'!P114 &amp; CHAR(10) &amp; CHAR(10) &amp; "■■ " &amp; 'الجدول'!Q1 &amp; " ■■" &amp; CHAR(10) &amp; "• " &amp; 'الجدول'!Q112 &amp; CHAR(10) &amp; "• " &amp; 'الجدول'!Q113 &amp; CHAR(10) &amp; "• " &amp; 'الجدول'!Q114 &amp; CHAR(10) &amp; CHAR(10) &amp; "■■ " &amp; 'الجدول'!R1 &amp; " ■■" &amp; CHAR(10) &amp; "• " &amp; 'الجدول'!R112 &amp; CHAR(10) &amp; "• " &amp; 'الجدول'!R113 &amp; CHAR(10) &amp; "• " &amp; 'الجدول'!R114 &amp; CHAR(10) &amp; CHAR(10) &amp; "■■ " &amp; 'الجدول'!S1 &amp; " ■■" &amp; CHAR(10) &amp; "• " &amp; 'الجدول'!S112 &amp; CHAR(10) &amp; "• " &amp; 'الجدول'!S113 &amp; CHAR(10) &amp; "• " &amp; 'الجدول'!S114 &amp; CHAR(10) &amp; CHAR(10) &amp; "■■ " &amp; 'الجدول'!T1 &amp; " ■■" &amp; CHAR(10) &amp; "• " &amp; 'الجدول'!T112 &amp; CHAR(10) &amp; "• " &amp; 'الجدول'!T113 &amp; CHAR(10) &amp; "• " &amp; 'الجدول'!T114 &amp; CHAR(10) &amp; CHAR(10) &amp; "■■ " &amp; 'الجدول'!U1 &amp; " ■■" &amp; CHAR(10) &amp; "• " &amp; 'الجدول'!U112 &amp; CHAR(10) &amp; "• " &amp; 'الجدول'!U113 &amp; CHAR(10) &amp; "• " &amp; 'الجدول'!U114 &amp; CHAR(10) &amp; CHAR(10)</f>
        <v>■■ A) DAY CLINIC THEN OPERATIONS ■■
• ----------
• ----------
• ----------
■■ A) NIGHT OPERATIONS ■■
• ----------
• ----------
• ----------
■■ B) DAY SENIOR GENERAL ■■
• ----------
• ----------
• ----------
■■ B) NIGHT SENIOR GENERAL ■■
• ----------
• ----------
• ----------
■■ C) DAY ADMISSION ■■
• ----------
• ----------
• ----------
■■ C) NIGHT ADMISSION ■■
• ----------
• ----------
• ----------
■■ D) DAY GENERAL ■■
• ----------
• ----------
• ----------
■■ D) NIGHT GENERAL ■■
• ----------
• ----------
• ----------
■■ E) DAY SENIOR PT ■■
• ----------
• ----------
• ----------
■■ E) NIGHT SENIOR PT ■■
• ----------
• ----------
• ----------
■■ F) DAY PT ■■
• ----------
• ----------
• ----------
■■ F) NIGHT PT ■■
• ----------
• ----------
• ----------
■■ G) DAY WARD ■■
• ----------
• ----------
• ----------
■■ G) NIGHT WARD ■■
• ----------
• ----------
• ----------
■■ Shift ward 1-8pm ■■
• جورج ممدوح
(01207444355)
• محمد عبد اللاه السيد حامد
(01559004738)
• ----------
■■ شيفت صباحى ■■
• سارة امين انور
(01212624091)
• ابراهيم احمد السيد
(01158350951)
• حازم خالد حسن
(01005673996)
■■ شيفت صباحى ■■
• ----------
• ----------
• ----------
■■ شيفت مسائى ■■
• Nada Mohamed Ahmed
(01141380592)
• محمد عبد اللاه السيد حامد
(01559004738)
• ----------
■■ شيفت مسائى ■■
• ----------
• ----------
• ----------
■■ ليستة ■■
• ----------
• ----------
• ----------
</v>
      </c>
      <c r="C25" s="3" t="str">
        <f>HYPERLINK("#الجدول!A" &amp; 111, "الجدول الأساسي")</f>
        <v>الجدول الأساسي</v>
      </c>
    </row>
    <row r="26" ht="15.75" customHeight="1">
      <c r="A26" s="1" t="s">
        <v>105</v>
      </c>
      <c r="B26" s="5" t="str">
        <f>"" &amp; "■■ " &amp; 'الجدول'!B1 &amp; " ■■" &amp; CHAR(10) &amp; "• " &amp; 'الجدول'!B115 &amp; CHAR(10) &amp; "• " &amp; 'الجدول'!B116 &amp; CHAR(10) &amp; "• " &amp; 'الجدول'!B117 &amp; CHAR(10) &amp; "• " &amp; 'الجدول'!B118 &amp; CHAR(10) &amp; "• " &amp; 'الجدول'!B119 &amp; CHAR(10) &amp; "• " &amp; 'الجدول'!B120 &amp; CHAR(10) &amp; "• " &amp; 'الجدول'!B121 &amp; CHAR(10) &amp; "• " &amp; 'الجدول'!B122 &amp; CHAR(10) &amp; CHAR(10) &amp; "■■ " &amp; 'الجدول'!C1 &amp; " ■■" &amp; CHAR(10) &amp; "• " &amp; 'الجدول'!C115 &amp; CHAR(10) &amp; "• " &amp; 'الجدول'!C116 &amp; CHAR(10) &amp; "• " &amp; 'الجدول'!C117 &amp; CHAR(10) &amp; "• " &amp; 'الجدول'!C118 &amp; CHAR(10) &amp; "• " &amp; 'الجدول'!C119 &amp; CHAR(10) &amp; "• " &amp; 'الجدول'!C120 &amp; CHAR(10) &amp; "• " &amp; 'الجدول'!C121 &amp; CHAR(10) &amp; "• " &amp; 'الجدول'!C122 &amp; CHAR(10) &amp; CHAR(10) &amp; "■■ " &amp; 'الجدول'!D1 &amp; " ■■" &amp; CHAR(10) &amp; "• " &amp; 'الجدول'!D115 &amp; CHAR(10) &amp; "• " &amp; 'الجدول'!D116 &amp; CHAR(10) &amp; "• " &amp; 'الجدول'!D117 &amp; CHAR(10) &amp; "• " &amp; 'الجدول'!D118 &amp; CHAR(10) &amp; "• " &amp; 'الجدول'!D119 &amp; CHAR(10) &amp; "• " &amp; 'الجدول'!D120 &amp; CHAR(10) &amp; "• " &amp; 'الجدول'!D121 &amp; CHAR(10) &amp; "• " &amp; 'الجدول'!D122 &amp; CHAR(10) &amp; CHAR(10) &amp; "■■ " &amp; 'الجدول'!E1 &amp; " ■■" &amp; CHAR(10) &amp; "• " &amp; 'الجدول'!E115 &amp; CHAR(10) &amp; "• " &amp; 'الجدول'!E116 &amp; CHAR(10) &amp; "• " &amp; 'الجدول'!E117 &amp; CHAR(10) &amp; "• " &amp; 'الجدول'!E118 &amp; CHAR(10) &amp; "• " &amp; 'الجدول'!E119 &amp; CHAR(10) &amp; "• " &amp; 'الجدول'!E120 &amp; CHAR(10) &amp; "• " &amp; 'الجدول'!E121 &amp; CHAR(10) &amp; "• " &amp; 'الجدول'!E122 &amp; CHAR(10) &amp; CHAR(10) &amp; "■■ " &amp; 'الجدول'!F1 &amp; " ■■" &amp; CHAR(10) &amp; "• " &amp; 'الجدول'!F115 &amp; CHAR(10) &amp; "• " &amp; 'الجدول'!F116 &amp; CHAR(10) &amp; "• " &amp; 'الجدول'!F117 &amp; CHAR(10) &amp; "• " &amp; 'الجدول'!F118 &amp; CHAR(10) &amp; "• " &amp; 'الجدول'!F119 &amp; CHAR(10) &amp; "• " &amp; 'الجدول'!F120 &amp; CHAR(10) &amp; "• " &amp; 'الجدول'!F121 &amp; CHAR(10) &amp; "• " &amp; 'الجدول'!F122 &amp; CHAR(10) &amp; CHAR(10) &amp; "■■ " &amp; 'الجدول'!G1 &amp; " ■■" &amp; CHAR(10) &amp; "• " &amp; 'الجدول'!G115 &amp; CHAR(10) &amp; "• " &amp; 'الجدول'!G116 &amp; CHAR(10) &amp; "• " &amp; 'الجدول'!G117 &amp; CHAR(10) &amp; "• " &amp; 'الجدول'!G118 &amp; CHAR(10) &amp; "• " &amp; 'الجدول'!G119 &amp; CHAR(10) &amp; "• " &amp; 'الجدول'!G120 &amp; CHAR(10) &amp; "• " &amp; 'الجدول'!G121 &amp; CHAR(10) &amp; "• " &amp; 'الجدول'!G122 &amp; CHAR(10) &amp; CHAR(10) &amp; "■■ " &amp; 'الجدول'!H1 &amp; " ■■" &amp; CHAR(10) &amp; "• " &amp; 'الجدول'!H115 &amp; CHAR(10) &amp; "• " &amp; 'الجدول'!H116 &amp; CHAR(10) &amp; "• " &amp; 'الجدول'!H117 &amp; CHAR(10) &amp; "• " &amp; 'الجدول'!H118 &amp; CHAR(10) &amp; "• " &amp; 'الجدول'!H119 &amp; CHAR(10) &amp; "• " &amp; 'الجدول'!H120 &amp; CHAR(10) &amp; "• " &amp; 'الجدول'!H121 &amp; CHAR(10) &amp; "• " &amp; 'الجدول'!H122 &amp; CHAR(10) &amp; CHAR(10) &amp; "■■ " &amp; 'الجدول'!I1 &amp; " ■■" &amp; CHAR(10) &amp; "• " &amp; 'الجدول'!I115 &amp; CHAR(10) &amp; "• " &amp; 'الجدول'!I116 &amp; CHAR(10) &amp; "• " &amp; 'الجدول'!I117 &amp; CHAR(10) &amp; "• " &amp; 'الجدول'!I118 &amp; CHAR(10) &amp; "• " &amp; 'الجدول'!I119 &amp; CHAR(10) &amp; "• " &amp; 'الجدول'!I120 &amp; CHAR(10) &amp; "• " &amp; 'الجدول'!I121 &amp; CHAR(10) &amp; "• " &amp; 'الجدول'!I122 &amp; CHAR(10) &amp; CHAR(10) &amp; "■■ " &amp; 'الجدول'!J1 &amp; " ■■" &amp; CHAR(10) &amp; "• " &amp; 'الجدول'!J115 &amp; CHAR(10) &amp; "• " &amp; 'الجدول'!J116 &amp; CHAR(10) &amp; "• " &amp; 'الجدول'!J117 &amp; CHAR(10) &amp; "• " &amp; 'الجدول'!J118 &amp; CHAR(10) &amp; "• " &amp; 'الجدول'!J119 &amp; CHAR(10) &amp; "• " &amp; 'الجدول'!J120 &amp; CHAR(10) &amp; "• " &amp; 'الجدول'!J121 &amp; CHAR(10) &amp; "• " &amp; 'الجدول'!J122 &amp; CHAR(10) &amp; CHAR(10) &amp; "■■ " &amp; 'الجدول'!K1 &amp; " ■■" &amp; CHAR(10) &amp; "• " &amp; 'الجدول'!K115 &amp; CHAR(10) &amp; "• " &amp; 'الجدول'!K116 &amp; CHAR(10) &amp; "• " &amp; 'الجدول'!K117 &amp; CHAR(10) &amp; "• " &amp; 'الجدول'!K118 &amp; CHAR(10) &amp; "• " &amp; 'الجدول'!K119 &amp; CHAR(10) &amp; "• " &amp; 'الجدول'!K120 &amp; CHAR(10) &amp; "• " &amp; 'الجدول'!K121 &amp; CHAR(10) &amp; "• " &amp; 'الجدول'!K122 &amp; CHAR(10) &amp; CHAR(10) &amp; "■■ " &amp; 'الجدول'!L1 &amp; " ■■" &amp; CHAR(10) &amp; "• " &amp; 'الجدول'!L115 &amp; CHAR(10) &amp; "• " &amp; 'الجدول'!L116 &amp; CHAR(10) &amp; "• " &amp; 'الجدول'!L117 &amp; CHAR(10) &amp; "• " &amp; 'الجدول'!L118 &amp; CHAR(10) &amp; "• " &amp; 'الجدول'!L119 &amp; CHAR(10) &amp; "• " &amp; 'الجدول'!L120 &amp; CHAR(10) &amp; "• " &amp; 'الجدول'!L121 &amp; CHAR(10) &amp; "• " &amp; 'الجدول'!L122 &amp; CHAR(10) &amp; CHAR(10) &amp; "■■ " &amp; 'الجدول'!M1 &amp; " ■■" &amp; CHAR(10) &amp; "• " &amp; 'الجدول'!M115 &amp; CHAR(10) &amp; "• " &amp; 'الجدول'!M116 &amp; CHAR(10) &amp; "• " &amp; 'الجدول'!M117 &amp; CHAR(10) &amp; "• " &amp; 'الجدول'!M118 &amp; CHAR(10) &amp; "• " &amp; 'الجدول'!M119 &amp; CHAR(10) &amp; "• " &amp; 'الجدول'!M120 &amp; CHAR(10) &amp; "• " &amp; 'الجدول'!M121 &amp; CHAR(10) &amp; "• " &amp; 'الجدول'!M122 &amp; CHAR(10) &amp; CHAR(10) &amp; "■■ " &amp; 'الجدول'!N1 &amp; " ■■" &amp; CHAR(10) &amp; "• " &amp; 'الجدول'!N115 &amp; CHAR(10) &amp; "• " &amp; 'الجدول'!N116 &amp; CHAR(10) &amp; "• " &amp; 'الجدول'!N117 &amp; CHAR(10) &amp; "• " &amp; 'الجدول'!N118 &amp; CHAR(10) &amp; "• " &amp; 'الجدول'!N119 &amp; CHAR(10) &amp; "• " &amp; 'الجدول'!N120 &amp; CHAR(10) &amp; "• " &amp; 'الجدول'!N121 &amp; CHAR(10) &amp; "• " &amp; 'الجدول'!N122 &amp; CHAR(10) &amp; CHAR(10) &amp; "■■ " &amp; 'الجدول'!O1 &amp; " ■■" &amp; CHAR(10) &amp; "• " &amp; 'الجدول'!O115 &amp; CHAR(10) &amp; "• " &amp; 'الجدول'!O116 &amp; CHAR(10) &amp; "• " &amp; 'الجدول'!O117 &amp; CHAR(10) &amp; "• " &amp; 'الجدول'!O118 &amp; CHAR(10) &amp; "• " &amp; 'الجدول'!O119 &amp; CHAR(10) &amp; "• " &amp; 'الجدول'!O120 &amp; CHAR(10) &amp; "• " &amp; 'الجدول'!O121 &amp; CHAR(10) &amp; "• " &amp; 'الجدول'!O122 &amp; CHAR(10) &amp; CHAR(10) &amp; "■■ " &amp; 'الجدول'!P1 &amp; " ■■" &amp; CHAR(10) &amp; "• " &amp; 'الجدول'!P115 &amp; CHAR(10) &amp; "• " &amp; 'الجدول'!P116 &amp; CHAR(10) &amp; "• " &amp; 'الجدول'!P117 &amp; CHAR(10) &amp; "• " &amp; 'الجدول'!P118 &amp; CHAR(10) &amp; "• " &amp; 'الجدول'!P119 &amp; CHAR(10) &amp; "• " &amp; 'الجدول'!P120 &amp; CHAR(10) &amp; "• " &amp; 'الجدول'!P121 &amp; CHAR(10) &amp; "• " &amp; 'الجدول'!P122 &amp; CHAR(10) &amp; CHAR(10) &amp; "■■ " &amp; 'الجدول'!Q1 &amp; " ■■" &amp; CHAR(10) &amp; "• " &amp; 'الجدول'!Q115 &amp; CHAR(10) &amp; "• " &amp; 'الجدول'!Q116 &amp; CHAR(10) &amp; "• " &amp; 'الجدول'!Q117 &amp; CHAR(10) &amp; "• " &amp; 'الجدول'!Q118 &amp; CHAR(10) &amp; "• " &amp; 'الجدول'!Q119 &amp; CHAR(10) &amp; "• " &amp; 'الجدول'!Q120 &amp; CHAR(10) &amp; "• " &amp; 'الجدول'!Q121 &amp; CHAR(10) &amp; "• " &amp; 'الجدول'!Q122 &amp; CHAR(10) &amp; CHAR(10) &amp; "■■ " &amp; 'الجدول'!R1 &amp; " ■■" &amp; CHAR(10) &amp; "• " &amp; 'الجدول'!R115 &amp; CHAR(10) &amp; "• " &amp; 'الجدول'!R116 &amp; CHAR(10) &amp; "• " &amp; 'الجدول'!R117 &amp; CHAR(10) &amp; "• " &amp; 'الجدول'!R118 &amp; CHAR(10) &amp; "• " &amp; 'الجدول'!R119 &amp; CHAR(10) &amp; "• " &amp; 'الجدول'!R120 &amp; CHAR(10) &amp; "• " &amp; 'الجدول'!R121 &amp; CHAR(10) &amp; "• " &amp; 'الجدول'!R122 &amp; CHAR(10) &amp; CHAR(10) &amp; "■■ " &amp; 'الجدول'!S1 &amp; " ■■" &amp; CHAR(10) &amp; "• " &amp; 'الجدول'!S115 &amp; CHAR(10) &amp; "• " &amp; 'الجدول'!S116 &amp; CHAR(10) &amp; "• " &amp; 'الجدول'!S117 &amp; CHAR(10) &amp; "• " &amp; 'الجدول'!S118 &amp; CHAR(10) &amp; "• " &amp; 'الجدول'!S119 &amp; CHAR(10) &amp; "• " &amp; 'الجدول'!S120 &amp; CHAR(10) &amp; "• " &amp; 'الجدول'!S121 &amp; CHAR(10) &amp; "• " &amp; 'الجدول'!S122 &amp; CHAR(10) &amp; CHAR(10) &amp; "■■ " &amp; 'الجدول'!T1 &amp; " ■■" &amp; CHAR(10) &amp; "• " &amp; 'الجدول'!T115 &amp; CHAR(10) &amp; "• " &amp; 'الجدول'!T116 &amp; CHAR(10) &amp; "• " &amp; 'الجدول'!T117 &amp; CHAR(10) &amp; "• " &amp; 'الجدول'!T118 &amp; CHAR(10) &amp; "• " &amp; 'الجدول'!T119 &amp; CHAR(10) &amp; "• " &amp; 'الجدول'!T120 &amp; CHAR(10) &amp; "• " &amp; 'الجدول'!T121 &amp; CHAR(10) &amp; "• " &amp; 'الجدول'!T122 &amp; CHAR(10) &amp; CHAR(10) &amp; "■■ " &amp; 'الجدول'!U1 &amp; " ■■" &amp; CHAR(10) &amp; "• " &amp; 'الجدول'!U115 &amp; CHAR(10) &amp; "• " &amp; 'الجدول'!U116 &amp; CHAR(10) &amp; "• " &amp; 'الجدول'!U117 &amp; CHAR(10) &amp; "• " &amp; 'الجدول'!U118 &amp; CHAR(10) &amp; "• " &amp; 'الجدول'!U119 &amp; CHAR(10) &amp; "• " &amp; 'الجدول'!U120 &amp; CHAR(10) &amp; "• " &amp; 'الجدول'!U121 &amp; CHAR(10) &amp; "• " &amp; 'الجدول'!U122 &amp; CHAR(10) &amp; CHAR(10)</f>
        <v>■■ A) DAY CLINIC THEN OPERATIONS ■■
• سارة امين انور
(01212624091)
• ----------
• ----------
• ----------
• ----------
• ----------
• ----------
• ----------
■■ A) NIGHT OPERATIONS ■■
• مصطفي ابراهيم عبدالرحيم
(01098440316)
• ----------
• ----------
• ----------
• ----------
• ----------
• ----------
• ----------
■■ B) DAY SENIOR GENERAL ■■
• نورهان ياسر عبدالمعز
(01063257329)
• ----------
• ----------
• ----------
• ----------
• ----------
• ----------
• ----------
■■ B) NIGHT SENIOR GENERAL ■■
• عمر سراج الدين فتحي
(01142862330)
• ----------
• ----------
• ----------
• ----------
• ----------
• ----------
• ----------
■■ C) DAY ADMISSION ■■
• محمد محمود عبدالسلام
(01152327499)
• ----------
• ----------
• ----------
• ----------
• ----------
• ----------
• ----------
■■ C) NIGHT ADMISSION ■■
• عائشة عمرو قرشي
(01002171719)
• ----------
• ----------
• ----------
• ----------
• ----------
• ----------
• ----------
■■ D) DAY GENERAL ■■
• ابراهيم احمد السيد
(01158350951)
• احمد رزق
(٠١٠٠٢٣٣٥٤٨٦)
• هبة جمال محمد محمد
(01027181761)
• سلوى نبيل متولي
(01116383438)
• فؤاد أحمد عبدالمنعم
(01091535003)
• ياسمين زهدي السيد
(01098924963)
• فاطمة أحمد درويش
(01093879135)
• Hasnaa gamal
(01111693084)
■■ D) NIGHT GENERAL ■■
• العوضي أسامة العوضي جراوش
(01144402429)
• كمال فضل محمد
(01102343017)
• يمنى جمال فتحي
(01040454689)
• حسام سالم الداعور
(01123835996)
• Raghad Elhamy
(01116764208)
• أحمد محمد فتحي
(01151513326)
• Mahinour Ashraf Soud
(01068470463)
• سامي ابراهيم علي
(01114713755)
■■ E) DAY SENIOR PT ■■
• خالد شريف البجيرمي
(01062857469)
• ----------
• ----------
• ----------
• ----------
• ----------
• ----------
• ----------
■■ E) NIGHT SENIOR PT ■■
• محمد محمد شرف
(01032029140)
• ----------
• ----------
• ----------
• ----------
• ----------
• ----------
• ----------
■■ F) DAY PT ■■
• رحاب يحيي احمد
(01150081936)
• مروان عبد المقصود نصر
(01272940086)
• رضوى صلاح
(01002301809)
• عمر وليد محمد
(01062000026)
• شاهيناز عبدالعزيز محمد
(01062940492)
• جهاد محمد السيد
(01011294223)
• عمر محمد عبد الفتاح
(01102262698)
• ----------
■■ F) NIGHT PT ■■
• مريم علاء محمود
(01001770021)
• فاطِمة حلمي صالح
(01023893860)
• محمود سليم عاشور
(01107286243)
• محمد علي جادالرب
(01553129877)
• تمارا خالد جمال الدين
(01096688868)
• منة الله فؤاد القماح
(1013662223)
• عمر محمد أحمد
(01208321212)
• ----------
■■ G) DAY WARD ■■
• جورج ممدوح
(01207444355)
• هبه محمد نجيب
(01507093786)
• ReHab Nasser Khamis
(01159448250)
• محمد السيد سعد
(01110135622)
• ----------
• ----------
• ----------
• ----------
■■ G) NIGHT WARD ■■
• عبدالرحمن عصام حلمى
(01028229796)
• Nada Mohamed Ahmed
(01141380592)
• حازم خالد حسن
(01005673996)
• أحمد محمد أحمد
(01112122129)
• ----------
• ----------
• ----------
• ----------
■■ Shift ward 1-8pm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ليستة ■■
• ----------
• ----------
• ----------
• ----------
• ----------
• ----------
• ----------
• ----------
</v>
      </c>
      <c r="C26" s="3" t="str">
        <f>HYPERLINK("#الجدول!A" &amp; 114, "الجدول الأساسي")</f>
        <v>الجدول الأساسي</v>
      </c>
    </row>
    <row r="27" ht="15.75" customHeight="1">
      <c r="A27" s="1" t="s">
        <v>106</v>
      </c>
      <c r="B27" s="5" t="str">
        <f>"" &amp; "■■ " &amp; 'الجدول'!B1 &amp; " ■■" &amp; CHAR(10) &amp; "• " &amp; 'الجدول'!B123 &amp; CHAR(10) &amp; "• " &amp; 'الجدول'!B124 &amp; CHAR(10) &amp; "• " &amp; 'الجدول'!B125 &amp; CHAR(10) &amp; "• " &amp; 'الجدول'!B126 &amp; CHAR(10) &amp; "• " &amp; 'الجدول'!B127 &amp; CHAR(10) &amp; "• " &amp; 'الجدول'!B128 &amp; CHAR(10) &amp; "• " &amp; 'الجدول'!B129 &amp; CHAR(10) &amp; CHAR(10) &amp; "■■ " &amp; 'الجدول'!C1 &amp; " ■■" &amp; CHAR(10) &amp; "• " &amp; 'الجدول'!C123 &amp; CHAR(10) &amp; "• " &amp; 'الجدول'!C124 &amp; CHAR(10) &amp; "• " &amp; 'الجدول'!C125 &amp; CHAR(10) &amp; "• " &amp; 'الجدول'!C126 &amp; CHAR(10) &amp; "• " &amp; 'الجدول'!C127 &amp; CHAR(10) &amp; "• " &amp; 'الجدول'!C128 &amp; CHAR(10) &amp; "• " &amp; 'الجدول'!C129 &amp; CHAR(10) &amp; CHAR(10) &amp; "■■ " &amp; 'الجدول'!D1 &amp; " ■■" &amp; CHAR(10) &amp; "• " &amp; 'الجدول'!D123 &amp; CHAR(10) &amp; "• " &amp; 'الجدول'!D124 &amp; CHAR(10) &amp; "• " &amp; 'الجدول'!D125 &amp; CHAR(10) &amp; "• " &amp; 'الجدول'!D126 &amp; CHAR(10) &amp; "• " &amp; 'الجدول'!D127 &amp; CHAR(10) &amp; "• " &amp; 'الجدول'!D128 &amp; CHAR(10) &amp; "• " &amp; 'الجدول'!D129 &amp; CHAR(10) &amp; CHAR(10) &amp; "■■ " &amp; 'الجدول'!E1 &amp; " ■■" &amp; CHAR(10) &amp; "• " &amp; 'الجدول'!E123 &amp; CHAR(10) &amp; "• " &amp; 'الجدول'!E124 &amp; CHAR(10) &amp; "• " &amp; 'الجدول'!E125 &amp; CHAR(10) &amp; "• " &amp; 'الجدول'!E126 &amp; CHAR(10) &amp; "• " &amp; 'الجدول'!E127 &amp; CHAR(10) &amp; "• " &amp; 'الجدول'!E128 &amp; CHAR(10) &amp; "• " &amp; 'الجدول'!E129 &amp; CHAR(10) &amp; CHAR(10) &amp; "■■ " &amp; 'الجدول'!F1 &amp; " ■■" &amp; CHAR(10) &amp; "• " &amp; 'الجدول'!F123 &amp; CHAR(10) &amp; "• " &amp; 'الجدول'!F124 &amp; CHAR(10) &amp; "• " &amp; 'الجدول'!F125 &amp; CHAR(10) &amp; "• " &amp; 'الجدول'!F126 &amp; CHAR(10) &amp; "• " &amp; 'الجدول'!F127 &amp; CHAR(10) &amp; "• " &amp; 'الجدول'!F128 &amp; CHAR(10) &amp; "• " &amp; 'الجدول'!F129 &amp; CHAR(10) &amp; CHAR(10) &amp; "■■ " &amp; 'الجدول'!G1 &amp; " ■■" &amp; CHAR(10) &amp; "• " &amp; 'الجدول'!G123 &amp; CHAR(10) &amp; "• " &amp; 'الجدول'!G124 &amp; CHAR(10) &amp; "• " &amp; 'الجدول'!G125 &amp; CHAR(10) &amp; "• " &amp; 'الجدول'!G126 &amp; CHAR(10) &amp; "• " &amp; 'الجدول'!G127 &amp; CHAR(10) &amp; "• " &amp; 'الجدول'!G128 &amp; CHAR(10) &amp; "• " &amp; 'الجدول'!G129 &amp; CHAR(10) &amp; CHAR(10) &amp; "■■ " &amp; 'الجدول'!H1 &amp; " ■■" &amp; CHAR(10) &amp; "• " &amp; 'الجدول'!H123 &amp; CHAR(10) &amp; "• " &amp; 'الجدول'!H124 &amp; CHAR(10) &amp; "• " &amp; 'الجدول'!H125 &amp; CHAR(10) &amp; "• " &amp; 'الجدول'!H126 &amp; CHAR(10) &amp; "• " &amp; 'الجدول'!H127 &amp; CHAR(10) &amp; "• " &amp; 'الجدول'!H128 &amp; CHAR(10) &amp; "• " &amp; 'الجدول'!H129 &amp; CHAR(10) &amp; CHAR(10) &amp; "■■ " &amp; 'الجدول'!I1 &amp; " ■■" &amp; CHAR(10) &amp; "• " &amp; 'الجدول'!I123 &amp; CHAR(10) &amp; "• " &amp; 'الجدول'!I124 &amp; CHAR(10) &amp; "• " &amp; 'الجدول'!I125 &amp; CHAR(10) &amp; "• " &amp; 'الجدول'!I126 &amp; CHAR(10) &amp; "• " &amp; 'الجدول'!I127 &amp; CHAR(10) &amp; "• " &amp; 'الجدول'!I128 &amp; CHAR(10) &amp; "• " &amp; 'الجدول'!I129 &amp; CHAR(10) &amp; CHAR(10) &amp; "■■ " &amp; 'الجدول'!J1 &amp; " ■■" &amp; CHAR(10) &amp; "• " &amp; 'الجدول'!J123 &amp; CHAR(10) &amp; "• " &amp; 'الجدول'!J124 &amp; CHAR(10) &amp; "• " &amp; 'الجدول'!J125 &amp; CHAR(10) &amp; "• " &amp; 'الجدول'!J126 &amp; CHAR(10) &amp; "• " &amp; 'الجدول'!J127 &amp; CHAR(10) &amp; "• " &amp; 'الجدول'!J128 &amp; CHAR(10) &amp; "• " &amp; 'الجدول'!J129 &amp; CHAR(10) &amp; CHAR(10) &amp; "■■ " &amp; 'الجدول'!K1 &amp; " ■■" &amp; CHAR(10) &amp; "• " &amp; 'الجدول'!K123 &amp; CHAR(10) &amp; "• " &amp; 'الجدول'!K124 &amp; CHAR(10) &amp; "• " &amp; 'الجدول'!K125 &amp; CHAR(10) &amp; "• " &amp; 'الجدول'!K126 &amp; CHAR(10) &amp; "• " &amp; 'الجدول'!K127 &amp; CHAR(10) &amp; "• " &amp; 'الجدول'!K128 &amp; CHAR(10) &amp; "• " &amp; 'الجدول'!K129 &amp; CHAR(10) &amp; CHAR(10) &amp; "■■ " &amp; 'الجدول'!L1 &amp; " ■■" &amp; CHAR(10) &amp; "• " &amp; 'الجدول'!L123 &amp; CHAR(10) &amp; "• " &amp; 'الجدول'!L124 &amp; CHAR(10) &amp; "• " &amp; 'الجدول'!L125 &amp; CHAR(10) &amp; "• " &amp; 'الجدول'!L126 &amp; CHAR(10) &amp; "• " &amp; 'الجدول'!L127 &amp; CHAR(10) &amp; "• " &amp; 'الجدول'!L128 &amp; CHAR(10) &amp; "• " &amp; 'الجدول'!L129 &amp; CHAR(10) &amp; CHAR(10) &amp; "■■ " &amp; 'الجدول'!M1 &amp; " ■■" &amp; CHAR(10) &amp; "• " &amp; 'الجدول'!M123 &amp; CHAR(10) &amp; "• " &amp; 'الجدول'!M124 &amp; CHAR(10) &amp; "• " &amp; 'الجدول'!M125 &amp; CHAR(10) &amp; "• " &amp; 'الجدول'!M126 &amp; CHAR(10) &amp; "• " &amp; 'الجدول'!M127 &amp; CHAR(10) &amp; "• " &amp; 'الجدول'!M128 &amp; CHAR(10) &amp; "• " &amp; 'الجدول'!M129 &amp; CHAR(10) &amp; CHAR(10) &amp; "■■ " &amp; 'الجدول'!N1 &amp; " ■■" &amp; CHAR(10) &amp; "• " &amp; 'الجدول'!N123 &amp; CHAR(10) &amp; "• " &amp; 'الجدول'!N124 &amp; CHAR(10) &amp; "• " &amp; 'الجدول'!N125 &amp; CHAR(10) &amp; "• " &amp; 'الجدول'!N126 &amp; CHAR(10) &amp; "• " &amp; 'الجدول'!N127 &amp; CHAR(10) &amp; "• " &amp; 'الجدول'!N128 &amp; CHAR(10) &amp; "• " &amp; 'الجدول'!N129 &amp; CHAR(10) &amp; CHAR(10) &amp; "■■ " &amp; 'الجدول'!O1 &amp; " ■■" &amp; CHAR(10) &amp; "• " &amp; 'الجدول'!O123 &amp; CHAR(10) &amp; "• " &amp; 'الجدول'!O124 &amp; CHAR(10) &amp; "• " &amp; 'الجدول'!O125 &amp; CHAR(10) &amp; "• " &amp; 'الجدول'!O126 &amp; CHAR(10) &amp; "• " &amp; 'الجدول'!O127 &amp; CHAR(10) &amp; "• " &amp; 'الجدول'!O128 &amp; CHAR(10) &amp; "• " &amp; 'الجدول'!O129 &amp; CHAR(10) &amp; CHAR(10) &amp; "■■ " &amp; 'الجدول'!P1 &amp; " ■■" &amp; CHAR(10) &amp; "• " &amp; 'الجدول'!P123 &amp; CHAR(10) &amp; "• " &amp; 'الجدول'!P124 &amp; CHAR(10) &amp; "• " &amp; 'الجدول'!P125 &amp; CHAR(10) &amp; "• " &amp; 'الجدول'!P126 &amp; CHAR(10) &amp; "• " &amp; 'الجدول'!P127 &amp; CHAR(10) &amp; "• " &amp; 'الجدول'!P128 &amp; CHAR(10) &amp; "• " &amp; 'الجدول'!P129 &amp; CHAR(10) &amp; CHAR(10) &amp; "■■ " &amp; 'الجدول'!Q1 &amp; " ■■" &amp; CHAR(10) &amp; "• " &amp; 'الجدول'!Q123 &amp; CHAR(10) &amp; "• " &amp; 'الجدول'!Q124 &amp; CHAR(10) &amp; "• " &amp; 'الجدول'!Q125 &amp; CHAR(10) &amp; "• " &amp; 'الجدول'!Q126 &amp; CHAR(10) &amp; "• " &amp; 'الجدول'!Q127 &amp; CHAR(10) &amp; "• " &amp; 'الجدول'!Q128 &amp; CHAR(10) &amp; "• " &amp; 'الجدول'!Q129 &amp; CHAR(10) &amp; CHAR(10) &amp; "■■ " &amp; 'الجدول'!R1 &amp; " ■■" &amp; CHAR(10) &amp; "• " &amp; 'الجدول'!R123 &amp; CHAR(10) &amp; "• " &amp; 'الجدول'!R124 &amp; CHAR(10) &amp; "• " &amp; 'الجدول'!R125 &amp; CHAR(10) &amp; "• " &amp; 'الجدول'!R126 &amp; CHAR(10) &amp; "• " &amp; 'الجدول'!R127 &amp; CHAR(10) &amp; "• " &amp; 'الجدول'!R128 &amp; CHAR(10) &amp; "• " &amp; 'الجدول'!R129 &amp; CHAR(10) &amp; CHAR(10) &amp; "■■ " &amp; 'الجدول'!S1 &amp; " ■■" &amp; CHAR(10) &amp; "• " &amp; 'الجدول'!S123 &amp; CHAR(10) &amp; "• " &amp; 'الجدول'!S124 &amp; CHAR(10) &amp; "• " &amp; 'الجدول'!S125 &amp; CHAR(10) &amp; "• " &amp; 'الجدول'!S126 &amp; CHAR(10) &amp; "• " &amp; 'الجدول'!S127 &amp; CHAR(10) &amp; "• " &amp; 'الجدول'!S128 &amp; CHAR(10) &amp; "• " &amp; 'الجدول'!S129 &amp; CHAR(10) &amp; CHAR(10) &amp; "■■ " &amp; 'الجدول'!T1 &amp; " ■■" &amp; CHAR(10) &amp; "• " &amp; 'الجدول'!T123 &amp; CHAR(10) &amp; "• " &amp; 'الجدول'!T124 &amp; CHAR(10) &amp; "• " &amp; 'الجدول'!T125 &amp; CHAR(10) &amp; "• " &amp; 'الجدول'!T126 &amp; CHAR(10) &amp; "• " &amp; 'الجدول'!T127 &amp; CHAR(10) &amp; "• " &amp; 'الجدول'!T128 &amp; CHAR(10) &amp; "• " &amp; 'الجدول'!T129 &amp; CHAR(10) &amp; CHAR(10) &amp; "■■ " &amp; 'الجدول'!U1 &amp; " ■■" &amp; CHAR(10) &amp; "• " &amp; 'الجدول'!U123 &amp; CHAR(10) &amp; "• " &amp; 'الجدول'!U124 &amp; CHAR(10) &amp; "• " &amp; 'الجدول'!U125 &amp; CHAR(10) &amp; "• " &amp; 'الجدول'!U126 &amp; CHAR(10) &amp; "• " &amp; 'الجدول'!U127 &amp; CHAR(10) &amp; "• " &amp; 'الجدول'!U128 &amp; CHAR(10) &amp; "• " &amp; 'الجدول'!U129 &amp; CHAR(10) &amp; CHAR(10)</f>
        <v>■■ A) DAY CLINIC THEN OPERATIONS ■■
• ----------
• ----------
• ----------
• ----------
• ----------
• ----------
• ----------
■■ A) NIGHT OPERATIONS ■■
• ----------
• ----------
• ----------
• ----------
• ----------
• ----------
• ----------
■■ B) DAY SENIOR GENERAL ■■
• ----------
• ----------
• ----------
• ----------
• ----------
• ----------
• ----------
■■ B) NIGHT SENIOR GENERAL ■■
• ----------
• ----------
• ----------
• ----------
• ----------
• ----------
• ----------
■■ C) DAY ADMISSION ■■
• ----------
• ----------
• ----------
• ----------
• ----------
• ----------
• ----------
■■ C) NIGHT ADMISSION ■■
• ----------
• ----------
• ----------
• ----------
• ----------
• ----------
• ----------
■■ D) DAY GENERAL ■■
• ----------
• ----------
• ----------
• ----------
• ----------
• ----------
• ----------
■■ D) NIGHT GENERAL ■■
• ----------
• ----------
• ----------
• ----------
• ----------
• ----------
• ----------
■■ E) DAY SENIOR PT ■■
• ----------
• ----------
• ----------
• ----------
• ----------
• ----------
• ----------
■■ E) NIGHT SENIOR PT ■■
• ----------
• ----------
• ----------
• ----------
• ----------
• ----------
• ----------
■■ F) DAY PT ■■
• ----------
• ----------
• ----------
• ----------
• ----------
• ----------
• ----------
■■ F) NIGHT PT ■■
• ----------
• ----------
• ----------
• ----------
• ----------
• ----------
• ----------
■■ G) DAY WARD ■■
• ----------
• ----------
• ----------
• ----------
• ----------
• ----------
• ----------
■■ G) NIGHT WARD ■■
• ----------
• ----------
• ----------
• ----------
• ----------
• ----------
• ----------
■■ Shift ward 1-8pm ■■
• ----------
• ----------
• ----------
• ----------
• ----------
• ----------
• ----------
■■ شيفت صباحى ■■
• عمر وليد محمد
(01062000026)
• محمد محمود عبدالسلام
(01152327499)
• يوسف احمد يحيى
(01030652702)
• مروان عبد المقصود نصر
(01272940086)
• Beshoy Botros
(01274308491)
• محمد محمد شرف
(01032029140)
• سلوى نبيل متولي
(01116383438)
■■ شيفت صباحى ■■
• ----------
• ----------
• ----------
• ----------
• ----------
• ----------
• ----------
■■ شيفت مسائى ■■
• محمود سليم عاشور
(01107286243)
• عمر محمد أحمد
(01208321212)
• حسام سالم الداعور
(01123835996)
• حنين احمد  علي
(01092469321)
• ----------
• ----------
• ----------
■■ شيفت مسائى ■■
• ----------
• ----------
• ----------
• ----------
• ----------
• ----------
• ----------
■■ ليستة ■■
• ----------
• ----------
• ----------
• ----------
• ----------
• ----------
• ----------
</v>
      </c>
      <c r="C27" s="3" t="str">
        <f>HYPERLINK("#الجدول!A" &amp; 122, "الجدول الأساسي")</f>
        <v>الجدول الأساسي</v>
      </c>
    </row>
    <row r="28" ht="15.75" customHeight="1">
      <c r="A28" s="1" t="s">
        <v>107</v>
      </c>
      <c r="B28" s="5" t="str">
        <f>"" &amp; "■■ " &amp; 'الجدول'!B1 &amp; " ■■" &amp; CHAR(10) &amp; "• " &amp; 'الجدول'!B130 &amp; CHAR(10) &amp; "• " &amp; 'الجدول'!B131 &amp; CHAR(10) &amp; "• " &amp; 'الجدول'!B132 &amp; CHAR(10) &amp; "• " &amp; 'الجدول'!B133 &amp; CHAR(10) &amp; "• " &amp; 'الجدول'!B134 &amp; CHAR(10) &amp; "• " &amp; 'الجدول'!B135 &amp; CHAR(10) &amp; "• " &amp; 'الجدول'!B136 &amp; CHAR(10) &amp; "• " &amp; 'الجدول'!B137 &amp; CHAR(10) &amp; CHAR(10) &amp; "■■ " &amp; 'الجدول'!C1 &amp; " ■■" &amp; CHAR(10) &amp; "• " &amp; 'الجدول'!C130 &amp; CHAR(10) &amp; "• " &amp; 'الجدول'!C131 &amp; CHAR(10) &amp; "• " &amp; 'الجدول'!C132 &amp; CHAR(10) &amp; "• " &amp; 'الجدول'!C133 &amp; CHAR(10) &amp; "• " &amp; 'الجدول'!C134 &amp; CHAR(10) &amp; "• " &amp; 'الجدول'!C135 &amp; CHAR(10) &amp; "• " &amp; 'الجدول'!C136 &amp; CHAR(10) &amp; "• " &amp; 'الجدول'!C137 &amp; CHAR(10) &amp; CHAR(10) &amp; "■■ " &amp; 'الجدول'!D1 &amp; " ■■" &amp; CHAR(10) &amp; "• " &amp; 'الجدول'!D130 &amp; CHAR(10) &amp; "• " &amp; 'الجدول'!D131 &amp; CHAR(10) &amp; "• " &amp; 'الجدول'!D132 &amp; CHAR(10) &amp; "• " &amp; 'الجدول'!D133 &amp; CHAR(10) &amp; "• " &amp; 'الجدول'!D134 &amp; CHAR(10) &amp; "• " &amp; 'الجدول'!D135 &amp; CHAR(10) &amp; "• " &amp; 'الجدول'!D136 &amp; CHAR(10) &amp; "• " &amp; 'الجدول'!D137 &amp; CHAR(10) &amp; CHAR(10) &amp; "■■ " &amp; 'الجدول'!E1 &amp; " ■■" &amp; CHAR(10) &amp; "• " &amp; 'الجدول'!E130 &amp; CHAR(10) &amp; "• " &amp; 'الجدول'!E131 &amp; CHAR(10) &amp; "• " &amp; 'الجدول'!E132 &amp; CHAR(10) &amp; "• " &amp; 'الجدول'!E133 &amp; CHAR(10) &amp; "• " &amp; 'الجدول'!E134 &amp; CHAR(10) &amp; "• " &amp; 'الجدول'!E135 &amp; CHAR(10) &amp; "• " &amp; 'الجدول'!E136 &amp; CHAR(10) &amp; "• " &amp; 'الجدول'!E137 &amp; CHAR(10) &amp; CHAR(10) &amp; "■■ " &amp; 'الجدول'!F1 &amp; " ■■" &amp; CHAR(10) &amp; "• " &amp; 'الجدول'!F130 &amp; CHAR(10) &amp; "• " &amp; 'الجدول'!F131 &amp; CHAR(10) &amp; "• " &amp; 'الجدول'!F132 &amp; CHAR(10) &amp; "• " &amp; 'الجدول'!F133 &amp; CHAR(10) &amp; "• " &amp; 'الجدول'!F134 &amp; CHAR(10) &amp; "• " &amp; 'الجدول'!F135 &amp; CHAR(10) &amp; "• " &amp; 'الجدول'!F136 &amp; CHAR(10) &amp; "• " &amp; 'الجدول'!F137 &amp; CHAR(10) &amp; CHAR(10) &amp; "■■ " &amp; 'الجدول'!G1 &amp; " ■■" &amp; CHAR(10) &amp; "• " &amp; 'الجدول'!G130 &amp; CHAR(10) &amp; "• " &amp; 'الجدول'!G131 &amp; CHAR(10) &amp; "• " &amp; 'الجدول'!G132 &amp; CHAR(10) &amp; "• " &amp; 'الجدول'!G133 &amp; CHAR(10) &amp; "• " &amp; 'الجدول'!G134 &amp; CHAR(10) &amp; "• " &amp; 'الجدول'!G135 &amp; CHAR(10) &amp; "• " &amp; 'الجدول'!G136 &amp; CHAR(10) &amp; "• " &amp; 'الجدول'!G137 &amp; CHAR(10) &amp; CHAR(10) &amp; "■■ " &amp; 'الجدول'!H1 &amp; " ■■" &amp; CHAR(10) &amp; "• " &amp; 'الجدول'!H130 &amp; CHAR(10) &amp; "• " &amp; 'الجدول'!H131 &amp; CHAR(10) &amp; "• " &amp; 'الجدول'!H132 &amp; CHAR(10) &amp; "• " &amp; 'الجدول'!H133 &amp; CHAR(10) &amp; "• " &amp; 'الجدول'!H134 &amp; CHAR(10) &amp; "• " &amp; 'الجدول'!H135 &amp; CHAR(10) &amp; "• " &amp; 'الجدول'!H136 &amp; CHAR(10) &amp; "• " &amp; 'الجدول'!H137 &amp; CHAR(10) &amp; CHAR(10) &amp; "■■ " &amp; 'الجدول'!I1 &amp; " ■■" &amp; CHAR(10) &amp; "• " &amp; 'الجدول'!I130 &amp; CHAR(10) &amp; "• " &amp; 'الجدول'!I131 &amp; CHAR(10) &amp; "• " &amp; 'الجدول'!I132 &amp; CHAR(10) &amp; "• " &amp; 'الجدول'!I133 &amp; CHAR(10) &amp; "• " &amp; 'الجدول'!I134 &amp; CHAR(10) &amp; "• " &amp; 'الجدول'!I135 &amp; CHAR(10) &amp; "• " &amp; 'الجدول'!I136 &amp; CHAR(10) &amp; "• " &amp; 'الجدول'!I137 &amp; CHAR(10) &amp; CHAR(10) &amp; "■■ " &amp; 'الجدول'!J1 &amp; " ■■" &amp; CHAR(10) &amp; "• " &amp; 'الجدول'!J130 &amp; CHAR(10) &amp; "• " &amp; 'الجدول'!J131 &amp; CHAR(10) &amp; "• " &amp; 'الجدول'!J132 &amp; CHAR(10) &amp; "• " &amp; 'الجدول'!J133 &amp; CHAR(10) &amp; "• " &amp; 'الجدول'!J134 &amp; CHAR(10) &amp; "• " &amp; 'الجدول'!J135 &amp; CHAR(10) &amp; "• " &amp; 'الجدول'!J136 &amp; CHAR(10) &amp; "• " &amp; 'الجدول'!J137 &amp; CHAR(10) &amp; CHAR(10) &amp; "■■ " &amp; 'الجدول'!K1 &amp; " ■■" &amp; CHAR(10) &amp; "• " &amp; 'الجدول'!K130 &amp; CHAR(10) &amp; "• " &amp; 'الجدول'!K131 &amp; CHAR(10) &amp; "• " &amp; 'الجدول'!K132 &amp; CHAR(10) &amp; "• " &amp; 'الجدول'!K133 &amp; CHAR(10) &amp; "• " &amp; 'الجدول'!K134 &amp; CHAR(10) &amp; "• " &amp; 'الجدول'!K135 &amp; CHAR(10) &amp; "• " &amp; 'الجدول'!K136 &amp; CHAR(10) &amp; "• " &amp; 'الجدول'!K137 &amp; CHAR(10) &amp; CHAR(10) &amp; "■■ " &amp; 'الجدول'!L1 &amp; " ■■" &amp; CHAR(10) &amp; "• " &amp; 'الجدول'!L130 &amp; CHAR(10) &amp; "• " &amp; 'الجدول'!L131 &amp; CHAR(10) &amp; "• " &amp; 'الجدول'!L132 &amp; CHAR(10) &amp; "• " &amp; 'الجدول'!L133 &amp; CHAR(10) &amp; "• " &amp; 'الجدول'!L134 &amp; CHAR(10) &amp; "• " &amp; 'الجدول'!L135 &amp; CHAR(10) &amp; "• " &amp; 'الجدول'!L136 &amp; CHAR(10) &amp; "• " &amp; 'الجدول'!L137 &amp; CHAR(10) &amp; CHAR(10) &amp; "■■ " &amp; 'الجدول'!M1 &amp; " ■■" &amp; CHAR(10) &amp; "• " &amp; 'الجدول'!M130 &amp; CHAR(10) &amp; "• " &amp; 'الجدول'!M131 &amp; CHAR(10) &amp; "• " &amp; 'الجدول'!M132 &amp; CHAR(10) &amp; "• " &amp; 'الجدول'!M133 &amp; CHAR(10) &amp; "• " &amp; 'الجدول'!M134 &amp; CHAR(10) &amp; "• " &amp; 'الجدول'!M135 &amp; CHAR(10) &amp; "• " &amp; 'الجدول'!M136 &amp; CHAR(10) &amp; "• " &amp; 'الجدول'!M137 &amp; CHAR(10) &amp; CHAR(10) &amp; "■■ " &amp; 'الجدول'!N1 &amp; " ■■" &amp; CHAR(10) &amp; "• " &amp; 'الجدول'!N130 &amp; CHAR(10) &amp; "• " &amp; 'الجدول'!N131 &amp; CHAR(10) &amp; "• " &amp; 'الجدول'!N132 &amp; CHAR(10) &amp; "• " &amp; 'الجدول'!N133 &amp; CHAR(10) &amp; "• " &amp; 'الجدول'!N134 &amp; CHAR(10) &amp; "• " &amp; 'الجدول'!N135 &amp; CHAR(10) &amp; "• " &amp; 'الجدول'!N136 &amp; CHAR(10) &amp; "• " &amp; 'الجدول'!N137 &amp; CHAR(10) &amp; CHAR(10) &amp; "■■ " &amp; 'الجدول'!O1 &amp; " ■■" &amp; CHAR(10) &amp; "• " &amp; 'الجدول'!O130 &amp; CHAR(10) &amp; "• " &amp; 'الجدول'!O131 &amp; CHAR(10) &amp; "• " &amp; 'الجدول'!O132 &amp; CHAR(10) &amp; "• " &amp; 'الجدول'!O133 &amp; CHAR(10) &amp; "• " &amp; 'الجدول'!O134 &amp; CHAR(10) &amp; "• " &amp; 'الجدول'!O135 &amp; CHAR(10) &amp; "• " &amp; 'الجدول'!O136 &amp; CHAR(10) &amp; "• " &amp; 'الجدول'!O137 &amp; CHAR(10) &amp; CHAR(10) &amp; "■■ " &amp; 'الجدول'!P1 &amp; " ■■" &amp; CHAR(10) &amp; "• " &amp; 'الجدول'!P130 &amp; CHAR(10) &amp; "• " &amp; 'الجدول'!P131 &amp; CHAR(10) &amp; "• " &amp; 'الجدول'!P132 &amp; CHAR(10) &amp; "• " &amp; 'الجدول'!P133 &amp; CHAR(10) &amp; "• " &amp; 'الجدول'!P134 &amp; CHAR(10) &amp; "• " &amp; 'الجدول'!P135 &amp; CHAR(10) &amp; "• " &amp; 'الجدول'!P136 &amp; CHAR(10) &amp; "• " &amp; 'الجدول'!P137 &amp; CHAR(10) &amp; CHAR(10) &amp; "■■ " &amp; 'الجدول'!Q1 &amp; " ■■" &amp; CHAR(10) &amp; "• " &amp; 'الجدول'!Q130 &amp; CHAR(10) &amp; "• " &amp; 'الجدول'!Q131 &amp; CHAR(10) &amp; "• " &amp; 'الجدول'!Q132 &amp; CHAR(10) &amp; "• " &amp; 'الجدول'!Q133 &amp; CHAR(10) &amp; "• " &amp; 'الجدول'!Q134 &amp; CHAR(10) &amp; "• " &amp; 'الجدول'!Q135 &amp; CHAR(10) &amp; "• " &amp; 'الجدول'!Q136 &amp; CHAR(10) &amp; "• " &amp; 'الجدول'!Q137 &amp; CHAR(10) &amp; CHAR(10) &amp; "■■ " &amp; 'الجدول'!R1 &amp; " ■■" &amp; CHAR(10) &amp; "• " &amp; 'الجدول'!R130 &amp; CHAR(10) &amp; "• " &amp; 'الجدول'!R131 &amp; CHAR(10) &amp; "• " &amp; 'الجدول'!R132 &amp; CHAR(10) &amp; "• " &amp; 'الجدول'!R133 &amp; CHAR(10) &amp; "• " &amp; 'الجدول'!R134 &amp; CHAR(10) &amp; "• " &amp; 'الجدول'!R135 &amp; CHAR(10) &amp; "• " &amp; 'الجدول'!R136 &amp; CHAR(10) &amp; "• " &amp; 'الجدول'!R137 &amp; CHAR(10) &amp; CHAR(10) &amp; "■■ " &amp; 'الجدول'!S1 &amp; " ■■" &amp; CHAR(10) &amp; "• " &amp; 'الجدول'!S130 &amp; CHAR(10) &amp; "• " &amp; 'الجدول'!S131 &amp; CHAR(10) &amp; "• " &amp; 'الجدول'!S132 &amp; CHAR(10) &amp; "• " &amp; 'الجدول'!S133 &amp; CHAR(10) &amp; "• " &amp; 'الجدول'!S134 &amp; CHAR(10) &amp; "• " &amp; 'الجدول'!S135 &amp; CHAR(10) &amp; "• " &amp; 'الجدول'!S136 &amp; CHAR(10) &amp; "• " &amp; 'الجدول'!S137 &amp; CHAR(10) &amp; CHAR(10) &amp; "■■ " &amp; 'الجدول'!T1 &amp; " ■■" &amp; CHAR(10) &amp; "• " &amp; 'الجدول'!T130 &amp; CHAR(10) &amp; "• " &amp; 'الجدول'!T131 &amp; CHAR(10) &amp; "• " &amp; 'الجدول'!T132 &amp; CHAR(10) &amp; "• " &amp; 'الجدول'!T133 &amp; CHAR(10) &amp; "• " &amp; 'الجدول'!T134 &amp; CHAR(10) &amp; "• " &amp; 'الجدول'!T135 &amp; CHAR(10) &amp; "• " &amp; 'الجدول'!T136 &amp; CHAR(10) &amp; "• " &amp; 'الجدول'!T137 &amp; CHAR(10) &amp; CHAR(10) &amp; "■■ " &amp; 'الجدول'!U1 &amp; " ■■" &amp; CHAR(10) &amp; "• " &amp; 'الجدول'!U130 &amp; CHAR(10) &amp; "• " &amp; 'الجدول'!U131 &amp; CHAR(10) &amp; "• " &amp; 'الجدول'!U132 &amp; CHAR(10) &amp; "• " &amp; 'الجدول'!U133 &amp; CHAR(10) &amp; "• " &amp; 'الجدول'!U134 &amp; CHAR(10) &amp; "• " &amp; 'الجدول'!U135 &amp; CHAR(10) &amp; "• " &amp; 'الجدول'!U136 &amp; CHAR(10) &amp; "• " &amp; 'الجدول'!U137 &amp; CHAR(10) &amp; CHAR(10)</f>
        <v>■■ A) DAY CLINIC THEN OPERATIONS ■■
• Mona araby sayed
(01102616595)
• ----------
• ----------
• ----------
• ----------
• ----------
• ----------
• ----------
■■ A) NIGHT OPERATIONS ■■
• عبدالرحمن رمضان رزق
(01098897354)
• ----------
• ----------
• ----------
• ----------
• ----------
• ----------
• ----------
■■ B) DAY SENIOR GENERAL ■■
• Beshoy Botros
(01274308491)
• ----------
• ----------
• ----------
• ----------
• ----------
• ----------
• ----------
■■ B) NIGHT SENIOR GENERAL ■■
• Hasnaa gamal
(01111693084)
• ----------
• ----------
• ----------
• ----------
• ----------
• ----------
• ----------
■■ C) DAY ADMISSION ■■
• محمد محمود عبدالسلام
(01152327499)
• ----------
• ----------
• ----------
• ----------
• ----------
• ----------
• ----------
■■ C) NIGHT ADMISSION ■■
• حنين احمد  علي
(01092469321)
• ----------
• ----------
• ----------
• ----------
• ----------
• ----------
• ----------
■■ D) DAY GENERAL ■■
• نورهان ياسر عبدالمعز
(01063257329)
• هبة جمال محمد محمد
(01027181761)
• حنين احمد  علي
(01092469321)
• يوسف احمد يحيى
(01030652702)
• محمد محمد شرف
(01032029140)
• Hazem el zahry
(01103953859)
• شاذلي مصطفي شاذلي رشيدي
(01023535267)
• ناتالي هاني
(01202965506)
■■ D) NIGHT GENERAL ■■
• حازم خالد حسن
(01005673996)
• مريم علاء محمود
(01001770021)
• أحمد محمد فتحي
(01151513326)
• جهاد محمد السيد
(01011294223)
• العوضي أسامة العوضي جراوش
(01144402429)
• Mohamed lotfy
(01064810610)
• Mahinour Ashraf Soud
(01068470463)
• ميار مسعد توفيق
(01153028000)
■■ E) DAY SENIOR PT ■■
• ناتالى 3
(01202965506)
• ----------
• ----------
• ----------
• ----------
• ----------
• ----------
• ----------
■■ E) NIGHT SENIOR PT ■■
• Hazem el zahry
(01103953859)
• ----------
• ----------
• ----------
• ----------
• ----------
• ----------
• ----------
■■ F) DAY PT ■■
• عائشة عمرو قرشي
(01002171719)
• عمر محمد عبد الفتاح
(01102262698)
• فاطمة أحمد درويش
(01093879135)
• رحاب يحيي احمد
(01150081936)
• حازم الزهرى 2
(01103953859)
• شاذلى مصطفى الشاذلى 2
(01023535267)
• ناتالى 2
(01202965506)
• ----------
■■ F) NIGHT PT ■■
• محمود سليم عاشور
(01107286243)
• يوسف احمد يحيى
(01030652702)
• محمد محمد شرف
(01032029140)
• شاذلى مصطفى الشاذلى 2
(01023535267)
• ناتالي هاني
(01202965506)
• شاذلي مصطفي شاذلي رشيدي
(01023535267)
• حازم الزهرى 2
(01103953859)
• ----------
■■ G) DAY WARD ■■
• هبه محمد نجيب
(01507093786)
• Hasnaa gamal
(01111693084)
• مصطفى رمضان مصطفى
(01274212921)
• مصطفي ابراهيم عبدالرحيم
(01098440316)
• ----------
• ----------
• ----------
• ----------
■■ G) NIGHT WARD ■■
• محمد عبد اللاه السيد حامد
(01559004738)
• عبدالرحمن عصام حلمى
(01028229796)
• Nada Mohamed Ahmed
(01141380592)
• حازم كرم كرم
(01118280669)
• ----------
• ----------
• ----------
• ----------
■■ Shift ward 1-8pm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صباحى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شيفت مسائى ■■
• ----------
• ----------
• ----------
• ----------
• ----------
• ----------
• ----------
• ----------
■■ ليستة ■■
• ----------
• ----------
• ----------
• ----------
• ----------
• ----------
• ----------
• ----------
</v>
      </c>
      <c r="C28" s="3" t="str">
        <f>HYPERLINK("#الجدول!A" &amp; 129, "الجدول الأساسي")</f>
        <v>الجدول الأساسي</v>
      </c>
    </row>
    <row r="29" ht="15.75" customHeight="1">
      <c r="A29" s="1" t="s">
        <v>111</v>
      </c>
      <c r="B29" s="5" t="str">
        <f>"" &amp; "■■ " &amp; 'الجدول'!B1 &amp; " ■■" &amp; CHAR(10) &amp; "• " &amp; 'الجدول'!B138 &amp; CHAR(10) &amp; "• " &amp; 'الجدول'!B139 &amp; CHAR(10) &amp; "• " &amp; 'الجدول'!B140 &amp; CHAR(10) &amp; "• " &amp; 'الجدول'!B141 &amp; CHAR(10) &amp; "• " &amp; 'الجدول'!B142 &amp; CHAR(10) &amp; "• " &amp; 'الجدول'!B143 &amp; CHAR(10) &amp; "• " &amp; 'الجدول'!B144 &amp; CHAR(10) &amp; CHAR(10) &amp; "■■ " &amp; 'الجدول'!C1 &amp; " ■■" &amp; CHAR(10) &amp; "• " &amp; 'الجدول'!C138 &amp; CHAR(10) &amp; "• " &amp; 'الجدول'!C139 &amp; CHAR(10) &amp; "• " &amp; 'الجدول'!C140 &amp; CHAR(10) &amp; "• " &amp; 'الجدول'!C141 &amp; CHAR(10) &amp; "• " &amp; 'الجدول'!C142 &amp; CHAR(10) &amp; "• " &amp; 'الجدول'!C143 &amp; CHAR(10) &amp; "• " &amp; 'الجدول'!C144 &amp; CHAR(10) &amp; CHAR(10) &amp; "■■ " &amp; 'الجدول'!D1 &amp; " ■■" &amp; CHAR(10) &amp; "• " &amp; 'الجدول'!D138 &amp; CHAR(10) &amp; "• " &amp; 'الجدول'!D139 &amp; CHAR(10) &amp; "• " &amp; 'الجدول'!D140 &amp; CHAR(10) &amp; "• " &amp; 'الجدول'!D141 &amp; CHAR(10) &amp; "• " &amp; 'الجدول'!D142 &amp; CHAR(10) &amp; "• " &amp; 'الجدول'!D143 &amp; CHAR(10) &amp; "• " &amp; 'الجدول'!D144 &amp; CHAR(10) &amp; CHAR(10) &amp; "■■ " &amp; 'الجدول'!E1 &amp; " ■■" &amp; CHAR(10) &amp; "• " &amp; 'الجدول'!E138 &amp; CHAR(10) &amp; "• " &amp; 'الجدول'!E139 &amp; CHAR(10) &amp; "• " &amp; 'الجدول'!E140 &amp; CHAR(10) &amp; "• " &amp; 'الجدول'!E141 &amp; CHAR(10) &amp; "• " &amp; 'الجدول'!E142 &amp; CHAR(10) &amp; "• " &amp; 'الجدول'!E143 &amp; CHAR(10) &amp; "• " &amp; 'الجدول'!E144 &amp; CHAR(10) &amp; CHAR(10) &amp; "■■ " &amp; 'الجدول'!F1 &amp; " ■■" &amp; CHAR(10) &amp; "• " &amp; 'الجدول'!F138 &amp; CHAR(10) &amp; "• " &amp; 'الجدول'!F139 &amp; CHAR(10) &amp; "• " &amp; 'الجدول'!F140 &amp; CHAR(10) &amp; "• " &amp; 'الجدول'!F141 &amp; CHAR(10) &amp; "• " &amp; 'الجدول'!F142 &amp; CHAR(10) &amp; "• " &amp; 'الجدول'!F143 &amp; CHAR(10) &amp; "• " &amp; 'الجدول'!F144 &amp; CHAR(10) &amp; CHAR(10) &amp; "■■ " &amp; 'الجدول'!G1 &amp; " ■■" &amp; CHAR(10) &amp; "• " &amp; 'الجدول'!G138 &amp; CHAR(10) &amp; "• " &amp; 'الجدول'!G139 &amp; CHAR(10) &amp; "• " &amp; 'الجدول'!G140 &amp; CHAR(10) &amp; "• " &amp; 'الجدول'!G141 &amp; CHAR(10) &amp; "• " &amp; 'الجدول'!G142 &amp; CHAR(10) &amp; "• " &amp; 'الجدول'!G143 &amp; CHAR(10) &amp; "• " &amp; 'الجدول'!G144 &amp; CHAR(10) &amp; CHAR(10) &amp; "■■ " &amp; 'الجدول'!H1 &amp; " ■■" &amp; CHAR(10) &amp; "• " &amp; 'الجدول'!H138 &amp; CHAR(10) &amp; "• " &amp; 'الجدول'!H139 &amp; CHAR(10) &amp; "• " &amp; 'الجدول'!H140 &amp; CHAR(10) &amp; "• " &amp; 'الجدول'!H141 &amp; CHAR(10) &amp; "• " &amp; 'الجدول'!H142 &amp; CHAR(10) &amp; "• " &amp; 'الجدول'!H143 &amp; CHAR(10) &amp; "• " &amp; 'الجدول'!H144 &amp; CHAR(10) &amp; CHAR(10) &amp; "■■ " &amp; 'الجدول'!I1 &amp; " ■■" &amp; CHAR(10) &amp; "• " &amp; 'الجدول'!I138 &amp; CHAR(10) &amp; "• " &amp; 'الجدول'!I139 &amp; CHAR(10) &amp; "• " &amp; 'الجدول'!I140 &amp; CHAR(10) &amp; "• " &amp; 'الجدول'!I141 &amp; CHAR(10) &amp; "• " &amp; 'الجدول'!I142 &amp; CHAR(10) &amp; "• " &amp; 'الجدول'!I143 &amp; CHAR(10) &amp; "• " &amp; 'الجدول'!I144 &amp; CHAR(10) &amp; CHAR(10) &amp; "■■ " &amp; 'الجدول'!J1 &amp; " ■■" &amp; CHAR(10) &amp; "• " &amp; 'الجدول'!J138 &amp; CHAR(10) &amp; "• " &amp; 'الجدول'!J139 &amp; CHAR(10) &amp; "• " &amp; 'الجدول'!J140 &amp; CHAR(10) &amp; "• " &amp; 'الجدول'!J141 &amp; CHAR(10) &amp; "• " &amp; 'الجدول'!J142 &amp; CHAR(10) &amp; "• " &amp; 'الجدول'!J143 &amp; CHAR(10) &amp; "• " &amp; 'الجدول'!J144 &amp; CHAR(10) &amp; CHAR(10) &amp; "■■ " &amp; 'الجدول'!K1 &amp; " ■■" &amp; CHAR(10) &amp; "• " &amp; 'الجدول'!K138 &amp; CHAR(10) &amp; "• " &amp; 'الجدول'!K139 &amp; CHAR(10) &amp; "• " &amp; 'الجدول'!K140 &amp; CHAR(10) &amp; "• " &amp; 'الجدول'!K141 &amp; CHAR(10) &amp; "• " &amp; 'الجدول'!K142 &amp; CHAR(10) &amp; "• " &amp; 'الجدول'!K143 &amp; CHAR(10) &amp; "• " &amp; 'الجدول'!K144 &amp; CHAR(10) &amp; CHAR(10) &amp; "■■ " &amp; 'الجدول'!L1 &amp; " ■■" &amp; CHAR(10) &amp; "• " &amp; 'الجدول'!L138 &amp; CHAR(10) &amp; "• " &amp; 'الجدول'!L139 &amp; CHAR(10) &amp; "• " &amp; 'الجدول'!L140 &amp; CHAR(10) &amp; "• " &amp; 'الجدول'!L141 &amp; CHAR(10) &amp; "• " &amp; 'الجدول'!L142 &amp; CHAR(10) &amp; "• " &amp; 'الجدول'!L143 &amp; CHAR(10) &amp; "• " &amp; 'الجدول'!L144 &amp; CHAR(10) &amp; CHAR(10) &amp; "■■ " &amp; 'الجدول'!M1 &amp; " ■■" &amp; CHAR(10) &amp; "• " &amp; 'الجدول'!M138 &amp; CHAR(10) &amp; "• " &amp; 'الجدول'!M139 &amp; CHAR(10) &amp; "• " &amp; 'الجدول'!M140 &amp; CHAR(10) &amp; "• " &amp; 'الجدول'!M141 &amp; CHAR(10) &amp; "• " &amp; 'الجدول'!M142 &amp; CHAR(10) &amp; "• " &amp; 'الجدول'!M143 &amp; CHAR(10) &amp; "• " &amp; 'الجدول'!M144 &amp; CHAR(10) &amp; CHAR(10) &amp; "■■ " &amp; 'الجدول'!N1 &amp; " ■■" &amp; CHAR(10) &amp; "• " &amp; 'الجدول'!N138 &amp; CHAR(10) &amp; "• " &amp; 'الجدول'!N139 &amp; CHAR(10) &amp; "• " &amp; 'الجدول'!N140 &amp; CHAR(10) &amp; "• " &amp; 'الجدول'!N141 &amp; CHAR(10) &amp; "• " &amp; 'الجدول'!N142 &amp; CHAR(10) &amp; "• " &amp; 'الجدول'!N143 &amp; CHAR(10) &amp; "• " &amp; 'الجدول'!N144 &amp; CHAR(10) &amp; CHAR(10) &amp; "■■ " &amp; 'الجدول'!O1 &amp; " ■■" &amp; CHAR(10) &amp; "• " &amp; 'الجدول'!O138 &amp; CHAR(10) &amp; "• " &amp; 'الجدول'!O139 &amp; CHAR(10) &amp; "• " &amp; 'الجدول'!O140 &amp; CHAR(10) &amp; "• " &amp; 'الجدول'!O141 &amp; CHAR(10) &amp; "• " &amp; 'الجدول'!O142 &amp; CHAR(10) &amp; "• " &amp; 'الجدول'!O143 &amp; CHAR(10) &amp; "• " &amp; 'الجدول'!O144 &amp; CHAR(10) &amp; CHAR(10) &amp; "■■ " &amp; 'الجدول'!P1 &amp; " ■■" &amp; CHAR(10) &amp; "• " &amp; 'الجدول'!P138 &amp; CHAR(10) &amp; "• " &amp; 'الجدول'!P139 &amp; CHAR(10) &amp; "• " &amp; 'الجدول'!P140 &amp; CHAR(10) &amp; "• " &amp; 'الجدول'!P141 &amp; CHAR(10) &amp; "• " &amp; 'الجدول'!P142 &amp; CHAR(10) &amp; "• " &amp; 'الجدول'!P143 &amp; CHAR(10) &amp; "• " &amp; 'الجدول'!P144 &amp; CHAR(10) &amp; CHAR(10) &amp; "■■ " &amp; 'الجدول'!Q1 &amp; " ■■" &amp; CHAR(10) &amp; "• " &amp; 'الجدول'!Q138 &amp; CHAR(10) &amp; "• " &amp; 'الجدول'!Q139 &amp; CHAR(10) &amp; "• " &amp; 'الجدول'!Q140 &amp; CHAR(10) &amp; "• " &amp; 'الجدول'!Q141 &amp; CHAR(10) &amp; "• " &amp; 'الجدول'!Q142 &amp; CHAR(10) &amp; "• " &amp; 'الجدول'!Q143 &amp; CHAR(10) &amp; "• " &amp; 'الجدول'!Q144 &amp; CHAR(10) &amp; CHAR(10) &amp; "■■ " &amp; 'الجدول'!R1 &amp; " ■■" &amp; CHAR(10) &amp; "• " &amp; 'الجدول'!R138 &amp; CHAR(10) &amp; "• " &amp; 'الجدول'!R139 &amp; CHAR(10) &amp; "• " &amp; 'الجدول'!R140 &amp; CHAR(10) &amp; "• " &amp; 'الجدول'!R141 &amp; CHAR(10) &amp; "• " &amp; 'الجدول'!R142 &amp; CHAR(10) &amp; "• " &amp; 'الجدول'!R143 &amp; CHAR(10) &amp; "• " &amp; 'الجدول'!R144 &amp; CHAR(10) &amp; CHAR(10) &amp; "■■ " &amp; 'الجدول'!S1 &amp; " ■■" &amp; CHAR(10) &amp; "• " &amp; 'الجدول'!S138 &amp; CHAR(10) &amp; "• " &amp; 'الجدول'!S139 &amp; CHAR(10) &amp; "• " &amp; 'الجدول'!S140 &amp; CHAR(10) &amp; "• " &amp; 'الجدول'!S141 &amp; CHAR(10) &amp; "• " &amp; 'الجدول'!S142 &amp; CHAR(10) &amp; "• " &amp; 'الجدول'!S143 &amp; CHAR(10) &amp; "• " &amp; 'الجدول'!S144 &amp; CHAR(10) &amp; CHAR(10) &amp; "■■ " &amp; 'الجدول'!T1 &amp; " ■■" &amp; CHAR(10) &amp; "• " &amp; 'الجدول'!T138 &amp; CHAR(10) &amp; "• " &amp; 'الجدول'!T139 &amp; CHAR(10) &amp; "• " &amp; 'الجدول'!T140 &amp; CHAR(10) &amp; "• " &amp; 'الجدول'!T141 &amp; CHAR(10) &amp; "• " &amp; 'الجدول'!T142 &amp; CHAR(10) &amp; "• " &amp; 'الجدول'!T143 &amp; CHAR(10) &amp; "• " &amp; 'الجدول'!T144 &amp; CHAR(10) &amp; CHAR(10) &amp; "■■ " &amp; 'الجدول'!U1 &amp; " ■■" &amp; CHAR(10) &amp; "• " &amp; 'الجدول'!U138 &amp; CHAR(10) &amp; "• " &amp; 'الجدول'!U139 &amp; CHAR(10) &amp; "• " &amp; 'الجدول'!U140 &amp; CHAR(10) &amp; "• " &amp; 'الجدول'!U141 &amp; CHAR(10) &amp; "• " &amp; 'الجدول'!U142 &amp; CHAR(10) &amp; "• " &amp; 'الجدول'!U143 &amp; CHAR(10) &amp; "• " &amp; 'الجدول'!U144 &amp; CHAR(10) &amp; CHAR(10)</f>
        <v>■■ A) DAY CLINIC THEN OPERATIONS ■■
• ----------
• ----------
• ----------
• ----------
• ----------
• ----------
• ----------
■■ A) NIGHT OPERATIONS ■■
• ----------
• ----------
• ----------
• ----------
• ----------
• ----------
• ----------
■■ B) DAY SENIOR GENERAL ■■
• ----------
• ----------
• ----------
• ----------
• ----------
• ----------
• ----------
■■ B) NIGHT SENIOR GENERAL ■■
• ----------
• ----------
• ----------
• ----------
• ----------
• ----------
• ----------
■■ C) DAY ADMISSION ■■
• ----------
• ----------
• ----------
• ----------
• ----------
• ----------
• ----------
■■ C) NIGHT ADMISSION ■■
• ----------
• ----------
• ----------
• ----------
• ----------
• ----------
• ----------
■■ D) DAY GENERAL ■■
• ----------
• ----------
• ----------
• ----------
• ----------
• ----------
• ----------
■■ D) NIGHT GENERAL ■■
• ----------
• ----------
• ----------
• ----------
• ----------
• ----------
• ----------
■■ E) DAY SENIOR PT ■■
• ----------
• ----------
• ----------
• ----------
• ----------
• ----------
• ----------
■■ E) NIGHT SENIOR PT ■■
• ----------
• ----------
• ----------
• ----------
• ----------
• ----------
• ----------
■■ F) DAY PT ■■
• ----------
• ----------
• ----------
• ----------
• ----------
• ----------
• ----------
■■ F) NIGHT PT ■■
• ----------
• ----------
• ----------
• ----------
• ----------
• ----------
• ----------
■■ G) DAY WARD ■■
• ----------
• ----------
• ----------
• ----------
• ----------
• ----------
• ----------
■■ G) NIGHT WARD ■■
• ----------
• ----------
• ----------
• ----------
• ----------
• ----------
• ----------
■■ Shift ward 1-8pm ■■
• ----------
• ----------
• ----------
• ----------
• ----------
• ----------
• ----------
■■ شيفت صباحى ■■
• مصطفى رمضان مصطفى
(01274212921)
• Hasnaa gamal
(01111693084)
• حنين احمد  علي
(01092469321)
• محمد محمد شرف
(01032029140)
• شاذلي مصطفي شاذلي رشيدي
(01023535267)
• Hazem el zahry
(01103953859)
• مصطفي ابراهيم عبدالرحيم
(01098440316)
■■ شيفت صباحى ■■
• ----------
• ----------
• ----------
• ----------
• ----------
• ----------
• ----------
■■ شيفت مسائى ■■
• Nada Mohamed Ahmed
(01141380592)
• محمد علي جادالرب
(01553129877)
• كمال فضل محمد
(01102343017)
• Mahinour Ashraf Soud
(01068470463)
• ----------
• ----------
• ----------
■■ شيفت مسائى ■■
• ----------
• ----------
• ----------
• ----------
• ----------
• ----------
• ----------
■■ ليستة ■■
• ----------
• ----------
• ----------
• ----------
• ----------
• ----------
• ----------
</v>
      </c>
      <c r="C29" s="3" t="str">
        <f>HYPERLINK("#الجدول!A" &amp; 137, "الجدول الأساسي")</f>
        <v>الجدول الأساسي</v>
      </c>
    </row>
    <row r="30" ht="15.75" customHeight="1">
      <c r="A30" s="1"/>
      <c r="B30" s="5"/>
      <c r="C30" s="3"/>
    </row>
    <row r="31" ht="15.75" customHeight="1">
      <c r="A31" s="1"/>
      <c r="B31" s="5"/>
      <c r="C31" s="3"/>
    </row>
    <row r="32" ht="15.75" customHeight="1">
      <c r="A32" s="1"/>
      <c r="B32" s="5"/>
      <c r="C32" s="3"/>
    </row>
    <row r="33" ht="15.75" customHeight="1">
      <c r="A33" s="1"/>
      <c r="B33" s="5"/>
      <c r="C33" s="3"/>
    </row>
    <row r="34" ht="15.75" customHeight="1">
      <c r="A34" s="1"/>
      <c r="B34" s="5"/>
      <c r="C34" s="3"/>
    </row>
    <row r="35" ht="15.75" customHeight="1">
      <c r="A35" s="1"/>
      <c r="B35" s="5"/>
      <c r="C35" s="3"/>
    </row>
    <row r="36" ht="15.75" customHeight="1">
      <c r="A36" s="1"/>
      <c r="B36" s="5"/>
      <c r="C36" s="3"/>
    </row>
    <row r="37" ht="15.75" customHeight="1">
      <c r="A37" s="1"/>
      <c r="B37" s="5"/>
      <c r="C37" s="3"/>
    </row>
    <row r="38" ht="15.75" customHeight="1">
      <c r="A38" s="1"/>
      <c r="B38" s="5"/>
      <c r="C38" s="3"/>
    </row>
    <row r="39" ht="15.75" customHeight="1">
      <c r="A39" s="1"/>
      <c r="B39" s="5"/>
      <c r="C39" s="3"/>
    </row>
    <row r="40" ht="15.75" customHeight="1">
      <c r="A40" s="1"/>
      <c r="B40" s="5"/>
      <c r="C40" s="3"/>
    </row>
    <row r="41" ht="15.75" customHeight="1">
      <c r="A41" s="1"/>
      <c r="B41" s="5"/>
      <c r="C41" s="3"/>
    </row>
    <row r="42" ht="15.75" customHeight="1">
      <c r="A42" s="1"/>
      <c r="B42" s="5"/>
      <c r="C42" s="3"/>
    </row>
    <row r="43" ht="15.75" customHeight="1">
      <c r="A43" s="1"/>
      <c r="B43" s="5"/>
      <c r="C43" s="3"/>
    </row>
    <row r="44" ht="15.75" customHeight="1">
      <c r="A44" s="1"/>
      <c r="B44" s="5"/>
      <c r="C44" s="3"/>
    </row>
    <row r="45" ht="15.75" customHeight="1">
      <c r="A45" s="1"/>
      <c r="B45" s="5"/>
      <c r="C45" s="3"/>
    </row>
    <row r="46" ht="15.75" customHeight="1">
      <c r="A46" s="1"/>
      <c r="B46" s="5"/>
      <c r="C46" s="3"/>
    </row>
    <row r="47" ht="15.75" customHeight="1">
      <c r="A47" s="1"/>
      <c r="B47" s="5"/>
      <c r="C47" s="3"/>
    </row>
    <row r="48" ht="15.75" customHeight="1">
      <c r="A48" s="1"/>
      <c r="B48" s="5"/>
      <c r="C48" s="3"/>
    </row>
    <row r="49" ht="15.75" customHeight="1">
      <c r="A49" s="1"/>
      <c r="B49" s="5"/>
      <c r="C49" s="3"/>
    </row>
    <row r="50" ht="15.75" customHeight="1">
      <c r="A50" s="1"/>
      <c r="B50" s="5"/>
      <c r="C50" s="3"/>
    </row>
    <row r="51" ht="15.75" customHeight="1">
      <c r="A51" s="1"/>
      <c r="B51" s="5"/>
      <c r="C51" s="3"/>
    </row>
    <row r="52" ht="15.75" customHeight="1">
      <c r="A52" s="1"/>
      <c r="B52" s="5"/>
      <c r="C52" s="3"/>
    </row>
    <row r="53" ht="15.75" customHeight="1">
      <c r="A53" s="1"/>
      <c r="B53" s="5"/>
      <c r="C53" s="3"/>
    </row>
    <row r="54" ht="15.75" customHeight="1">
      <c r="A54" s="1"/>
      <c r="B54" s="5"/>
      <c r="C54" s="3"/>
    </row>
    <row r="55" ht="15.75" customHeight="1">
      <c r="A55" s="1"/>
      <c r="B55" s="5"/>
      <c r="C55" s="3"/>
    </row>
    <row r="56" ht="15.75" customHeight="1">
      <c r="A56" s="1"/>
      <c r="B56" s="5"/>
      <c r="C56" s="3"/>
    </row>
    <row r="57" ht="15.75" customHeight="1">
      <c r="A57" s="1"/>
      <c r="B57" s="5"/>
      <c r="C57" s="3"/>
    </row>
    <row r="58" ht="15.75" customHeight="1">
      <c r="A58" s="1"/>
      <c r="B58" s="5"/>
      <c r="C58" s="3"/>
    </row>
    <row r="59" ht="15.75" customHeight="1">
      <c r="A59" s="1"/>
      <c r="B59" s="5"/>
      <c r="C59" s="3"/>
    </row>
    <row r="60" ht="15.75" customHeight="1">
      <c r="A60" s="1"/>
      <c r="B60" s="5"/>
      <c r="C60" s="3"/>
    </row>
    <row r="61" ht="15.75" customHeight="1">
      <c r="A61" s="1"/>
      <c r="B61" s="5"/>
      <c r="C61" s="3"/>
    </row>
    <row r="62" ht="15.75" customHeight="1">
      <c r="A62" s="1"/>
      <c r="B62" s="5"/>
      <c r="C62" s="3"/>
    </row>
    <row r="63" ht="15.75" customHeight="1">
      <c r="A63" s="1"/>
      <c r="B63" s="5"/>
      <c r="C63" s="3"/>
    </row>
    <row r="64" ht="15.75" customHeight="1">
      <c r="A64" s="1"/>
      <c r="B64" s="5"/>
      <c r="C64" s="3"/>
    </row>
    <row r="65" ht="15.75" customHeight="1">
      <c r="A65" s="1"/>
      <c r="B65" s="5"/>
      <c r="C65" s="3"/>
    </row>
    <row r="66" ht="15.75" customHeight="1">
      <c r="A66" s="1"/>
      <c r="B66" s="5"/>
      <c r="C66" s="3"/>
    </row>
    <row r="67" ht="15.75" customHeight="1">
      <c r="A67" s="1"/>
      <c r="B67" s="5"/>
      <c r="C67" s="3"/>
    </row>
    <row r="68" ht="15.75" customHeight="1">
      <c r="A68" s="1"/>
      <c r="B68" s="5"/>
      <c r="C68" s="3"/>
    </row>
    <row r="69" ht="15.75" customHeight="1">
      <c r="A69" s="1"/>
      <c r="B69" s="5"/>
      <c r="C69" s="3"/>
    </row>
    <row r="70" ht="15.75" customHeight="1">
      <c r="A70" s="1"/>
      <c r="B70" s="5"/>
      <c r="C70" s="3"/>
    </row>
    <row r="71" ht="15.75" customHeight="1">
      <c r="A71" s="1"/>
      <c r="B71" s="5"/>
      <c r="C71" s="3"/>
    </row>
    <row r="72" ht="15.75" customHeight="1">
      <c r="A72" s="1"/>
      <c r="B72" s="5"/>
      <c r="C72" s="3"/>
    </row>
    <row r="73" ht="15.75" customHeight="1">
      <c r="A73" s="1"/>
      <c r="B73" s="5"/>
      <c r="C73" s="3"/>
    </row>
    <row r="74" ht="15.75" customHeight="1">
      <c r="A74" s="1"/>
      <c r="B74" s="5"/>
      <c r="C74" s="3"/>
    </row>
    <row r="75" ht="15.75" customHeight="1">
      <c r="A75" s="1"/>
      <c r="B75" s="5"/>
      <c r="C75" s="3"/>
    </row>
    <row r="76" ht="15.75" customHeight="1">
      <c r="A76" s="1"/>
      <c r="B76" s="5"/>
      <c r="C76" s="3"/>
    </row>
    <row r="77" ht="15.75" customHeight="1">
      <c r="A77" s="1"/>
      <c r="B77" s="5"/>
      <c r="C77" s="3"/>
    </row>
    <row r="78" ht="15.75" customHeight="1">
      <c r="A78" s="1"/>
      <c r="B78" s="5"/>
      <c r="C78" s="3"/>
    </row>
    <row r="79" ht="15.75" customHeight="1">
      <c r="A79" s="1"/>
      <c r="B79" s="5"/>
      <c r="C79" s="3"/>
    </row>
    <row r="80" ht="15.75" customHeight="1">
      <c r="A80" s="1"/>
      <c r="B80" s="5"/>
      <c r="C80" s="3"/>
    </row>
    <row r="81" ht="15.75" customHeight="1">
      <c r="A81" s="1"/>
      <c r="B81" s="5"/>
      <c r="C81" s="3"/>
    </row>
    <row r="82" ht="15.75" customHeight="1">
      <c r="A82" s="1"/>
      <c r="B82" s="5"/>
      <c r="C82" s="3"/>
    </row>
    <row r="83" ht="15.75" customHeight="1">
      <c r="A83" s="1"/>
      <c r="B83" s="5"/>
      <c r="C83" s="3"/>
    </row>
    <row r="84" ht="15.75" customHeight="1">
      <c r="A84" s="1"/>
      <c r="B84" s="5"/>
      <c r="C84" s="3"/>
    </row>
    <row r="85" ht="15.75" customHeight="1">
      <c r="A85" s="1"/>
      <c r="B85" s="5"/>
      <c r="C85" s="3"/>
    </row>
    <row r="86" ht="15.75" customHeight="1">
      <c r="A86" s="1"/>
      <c r="B86" s="5"/>
      <c r="C86" s="3"/>
    </row>
    <row r="87" ht="15.75" customHeight="1">
      <c r="A87" s="1"/>
      <c r="B87" s="5"/>
      <c r="C87" s="3"/>
    </row>
    <row r="88" ht="15.75" customHeight="1">
      <c r="A88" s="1"/>
      <c r="B88" s="5"/>
      <c r="C88" s="3"/>
    </row>
    <row r="89" ht="15.75" customHeight="1">
      <c r="A89" s="1"/>
      <c r="B89" s="5"/>
      <c r="C89" s="3"/>
    </row>
    <row r="90" ht="15.75" customHeight="1">
      <c r="A90" s="1"/>
      <c r="B90" s="5"/>
      <c r="C90" s="3"/>
    </row>
    <row r="91" ht="15.75" customHeight="1">
      <c r="A91" s="1"/>
      <c r="B91" s="5"/>
      <c r="C91" s="3"/>
    </row>
    <row r="92" ht="15.75" customHeight="1">
      <c r="A92" s="1"/>
      <c r="B92" s="5"/>
      <c r="C92" s="3"/>
    </row>
    <row r="93" ht="15.75" customHeight="1">
      <c r="A93" s="1"/>
      <c r="B93" s="5"/>
      <c r="C93" s="3"/>
    </row>
    <row r="94" ht="15.75" customHeight="1">
      <c r="A94" s="1"/>
      <c r="B94" s="5"/>
      <c r="C94" s="3"/>
    </row>
    <row r="95" ht="15.75" customHeight="1">
      <c r="A95" s="1"/>
      <c r="B95" s="5"/>
      <c r="C95" s="3"/>
    </row>
    <row r="96" ht="15.75" customHeight="1">
      <c r="A96" s="1"/>
      <c r="B96" s="5"/>
      <c r="C96" s="3"/>
    </row>
    <row r="97" ht="15.75" customHeight="1">
      <c r="A97" s="1"/>
      <c r="B97" s="5"/>
      <c r="C97" s="3"/>
    </row>
    <row r="98" ht="15.75" customHeight="1">
      <c r="A98" s="1"/>
      <c r="B98" s="5"/>
      <c r="C98" s="3"/>
    </row>
    <row r="99" ht="15.75" customHeight="1">
      <c r="A99" s="1"/>
      <c r="B99" s="5"/>
      <c r="C99" s="3"/>
    </row>
    <row r="100" ht="15.75" customHeight="1">
      <c r="A100" s="1"/>
      <c r="B100" s="5"/>
      <c r="C100" s="3"/>
    </row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الجدول</vt:lpstr>
      <vt:lpstr>مجمع</vt:lpstr>
    </vt:vector>
  </TitlesOfParts>
  <LinksUpToDate>false</LinksUpToDate>
  <SharedDoc>false</SharedDoc>
  <HyperlinksChanged>false</HyperlinksChanged>
  <Application>Microsoft Excel</Application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2026-02-07T17:51:55Z</dcterms:created>
  <dc:creator/>
  <cp:lastModifiedBy/>
  <dcterms:modified xsi:type="dcterms:W3CDTF">2026-02-07T17:51:55Z</dcterms:modified>
</cp:coreProperties>
</file>