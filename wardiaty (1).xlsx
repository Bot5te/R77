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جدول" sheetId="1" r:id="rId4"/>
    <sheet state="visible" name="مجمع" sheetId="2" r:id="rId5"/>
  </sheets>
  <definedNames/>
  <calcPr/>
</workbook>
</file>

<file path=xl/sharedStrings.xml><?xml version="1.0" encoding="utf-8"?>
<sst xmlns="http://schemas.openxmlformats.org/spreadsheetml/2006/main" count="2636" uniqueCount="112">
  <si>
    <t xml:space="preserve"> </t>
  </si>
  <si>
    <t>ER ADMISSION-NIGHT-🚨🌙</t>
  </si>
  <si>
    <t>ER ADMISSIONS -DAY-🚨☀️</t>
  </si>
  <si>
    <t>ER-clinic Day ☀️🚨</t>
  </si>
  <si>
    <t>ER GENERAL-DAY-🚨☀️</t>
  </si>
  <si>
    <t>ER GENERAL-NIGHT-🚨🌙</t>
  </si>
  <si>
    <t>ER PT-DAY-🚨☀️</t>
  </si>
  <si>
    <t>ER PT-NIGHT-🚨🌙</t>
  </si>
  <si>
    <t>ER TRIAGE-DAY-🚨☀️</t>
  </si>
  <si>
    <t>ER TRIAGE-NIGHT-🚨🌙</t>
  </si>
  <si>
    <t>ER WARD-DAY-🚨☀️</t>
  </si>
  <si>
    <t>ER WARD-NIGHT-🚨🌙</t>
  </si>
  <si>
    <t>🗡️LISTA</t>
  </si>
  <si>
    <t>WARD-DAY-☀️</t>
  </si>
  <si>
    <t>WARD-NIGHT-🌙</t>
  </si>
  <si>
    <t>2026-02-01 الأحد</t>
  </si>
  <si>
    <t>بلال جودة
(01066199644)</t>
  </si>
  <si>
    <t>سلمى أبوالعلا
(01124166114)</t>
  </si>
  <si>
    <t>دانه طارق
(01012809042)</t>
  </si>
  <si>
    <t>استيفن مدحت منير
(01200226122)</t>
  </si>
  <si>
    <t>عمرو وائل سرور
(01023140340)</t>
  </si>
  <si>
    <t>مينا رومانى عبده
(01212866642)</t>
  </si>
  <si>
    <t>سندس أحمد سيد
(01156131096)</t>
  </si>
  <si>
    <t>كارين روماني راشد
(01102663062)</t>
  </si>
  <si>
    <t>ملك محمد فؤاد
(01001721072)</t>
  </si>
  <si>
    <t>محمود عبد المحسن إبراهيم
(01062086612)</t>
  </si>
  <si>
    <t>محمد  الجمل
(01091463337)</t>
  </si>
  <si>
    <t>----------</t>
  </si>
  <si>
    <t>محمد خالد محمد
(01008204601)</t>
  </si>
  <si>
    <t>محمد محمود ابراهيم
(01112057358)</t>
  </si>
  <si>
    <t>منار احمد سعيد
(01092708033)</t>
  </si>
  <si>
    <t>مصطفى عبد الراضى صديق
(01226696153)</t>
  </si>
  <si>
    <t>سعيد السيد محمد السيد محمد سابق
(01203394950)</t>
  </si>
  <si>
    <t>احمد عزت الشيخ
(01226872660)</t>
  </si>
  <si>
    <t>أحمد رجب محمد
(01273127265)</t>
  </si>
  <si>
    <t>احمد ايهاب محمد عواد
(01032298339)</t>
  </si>
  <si>
    <t>منار عواد عبدالعال عواد
(01001915861)</t>
  </si>
  <si>
    <t>Ziad said mohamed
(01028577876)</t>
  </si>
  <si>
    <t>أحمد زيدان
(01110524147)</t>
  </si>
  <si>
    <t>ريهام سعد عبدالرحمن
(01124867574)</t>
  </si>
  <si>
    <t>عمر حسن محمد حسن حجازي
(01019701020)</t>
  </si>
  <si>
    <t>احمد ناصر
(01553479200)</t>
  </si>
  <si>
    <t>عبدالمسيح مكرم
(01203267885)</t>
  </si>
  <si>
    <t>احمد حسين أحمد
(01001877491)</t>
  </si>
  <si>
    <t>منة السيد عبد الباقي
(01274588193)</t>
  </si>
  <si>
    <t>رؤى أحمد عبدالحميد البليهي
(01021284862)</t>
  </si>
  <si>
    <t>كارين باسم صومائيل
(01274209975)</t>
  </si>
  <si>
    <t>محمد عمرو محمد عبدالباقي
(01151653320)</t>
  </si>
  <si>
    <t>مها حسين السيد
(01012349071)</t>
  </si>
  <si>
    <t>شهاب احمد حلمي
(01055979002)</t>
  </si>
  <si>
    <t>احمد حسام الدين صلاح
(01065567736)</t>
  </si>
  <si>
    <t>الاء الحداد
(01033882560)</t>
  </si>
  <si>
    <t>روان ياسر سليم
(01005005160)</t>
  </si>
  <si>
    <t>مي طارق نهاد
(01287477488)</t>
  </si>
  <si>
    <t>أعناب طارق عوض
(01146334179)</t>
  </si>
  <si>
    <t>منه الله هشام السيد
(01002996214)</t>
  </si>
  <si>
    <t>بلال أحمد
(01066883767)</t>
  </si>
  <si>
    <t>تقى عماد حسني
(01119716276)</t>
  </si>
  <si>
    <t>هديل نادي محند
(01033032220)</t>
  </si>
  <si>
    <t>يوسف عاطف رزق الله
(01148183647)</t>
  </si>
  <si>
    <t>Sara Refaat
(01220039613)</t>
  </si>
  <si>
    <t>احمدنوید قیومی
(01104573242)</t>
  </si>
  <si>
    <t>مي خالد ابوزيد
(01023578224)</t>
  </si>
  <si>
    <t>Mohamed Ahmed</t>
  </si>
  <si>
    <t>هديل هشام منصور الوشاحي
(01227221344)</t>
  </si>
  <si>
    <t>شيماء رمضان سعد
(01021468731)</t>
  </si>
  <si>
    <t>رنيم حاتم رفيق بسيسو
(01144758373)</t>
  </si>
  <si>
    <t>شدو محمد شلتوت
(1550336384)</t>
  </si>
  <si>
    <t>2026-02-02 الاثنين</t>
  </si>
  <si>
    <t>مريم السيد أحمد خيرالله
(01099882992)</t>
  </si>
  <si>
    <t>زينة أشرف حسين
(01067196820)</t>
  </si>
  <si>
    <t>2026-02-03 الثلاثاء</t>
  </si>
  <si>
    <t>Youssef elsemary
(01126286820)</t>
  </si>
  <si>
    <t>2026-02-04 الأربعاء</t>
  </si>
  <si>
    <t>2026-02-05 الخميس</t>
  </si>
  <si>
    <t>2026-02-06 الجمعة</t>
  </si>
  <si>
    <t>عمر محمد سيد
(01000688544)</t>
  </si>
  <si>
    <t>رنا اكرم احمد
(01122182132)</t>
  </si>
  <si>
    <t>مصطفى محمد علي محمد بدر
(01150245681)</t>
  </si>
  <si>
    <t>حنان النبوى محمد
(01067888751)</t>
  </si>
  <si>
    <t>عمرو عبدالغفار حمزة
(01014246636)</t>
  </si>
  <si>
    <t>Marwan Ayman
(01149894940)</t>
  </si>
  <si>
    <t>يوسف طه السيد
(01207620695)</t>
  </si>
  <si>
    <t>نورهان محمد
(0112 826 8287)</t>
  </si>
  <si>
    <t>Mostafa Ismail
(01022400525)</t>
  </si>
  <si>
    <t>محمود محمد عبدالرحمن
(01023283048)</t>
  </si>
  <si>
    <t>عبدالله احمد
(01020242571)</t>
  </si>
  <si>
    <t>Rawan Elessawy
(01010983040)</t>
  </si>
  <si>
    <t>2026-02-07 السبت</t>
  </si>
  <si>
    <t>2026-02-08 الأحد</t>
  </si>
  <si>
    <t>2026-02-09 الاثنين</t>
  </si>
  <si>
    <t>2026-02-10 الثلاثاء</t>
  </si>
  <si>
    <t>2026-02-11 الأربعاء</t>
  </si>
  <si>
    <t>2026-02-12 الخميس</t>
  </si>
  <si>
    <t>2026-02-13 الجمعة</t>
  </si>
  <si>
    <t>2026-02-14 السبت</t>
  </si>
  <si>
    <t>2026-02-15 الأحد</t>
  </si>
  <si>
    <t>2026-02-16 الاثنين</t>
  </si>
  <si>
    <t>2026-02-17 الثلاثاء</t>
  </si>
  <si>
    <t>2026-02-18 الأربعاء</t>
  </si>
  <si>
    <t>2026-02-19 الخميس</t>
  </si>
  <si>
    <t>2026-02-20 الجمعة</t>
  </si>
  <si>
    <t>2026-02-21 السبت</t>
  </si>
  <si>
    <t>2026-02-22 الأحد</t>
  </si>
  <si>
    <t>2026-02-23 الاثنين</t>
  </si>
  <si>
    <t>2026-02-24 الثلاثاء</t>
  </si>
  <si>
    <t>2026-02-25 الأربعاء</t>
  </si>
  <si>
    <t>2026-02-26 الخميس</t>
  </si>
  <si>
    <t>2026-02-27 الجمعة</t>
  </si>
  <si>
    <t>2026-02-28 السبت</t>
  </si>
  <si>
    <t>اليوم</t>
  </si>
  <si>
    <t>الورديات مجمعة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</si>
</sst>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Calibri"/>
    </font>
    <font>
      <u/>
      <sz val="11.0"/>
      <color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1E60A1"/>
        <bgColor rgb="FF1E60A1"/>
      </patternFill>
    </fill>
  </fills>
  <borders count="6">
    <border/>
    <border>
      <left style="thin">
        <color rgb="FFD2DFEC"/>
      </left>
      <right style="thin">
        <color rgb="FFD2DFEC"/>
      </right>
      <top style="thin">
        <color rgb="FFD2DFEC"/>
      </top>
      <bottom style="thin">
        <color rgb="FFD2DFEC"/>
      </bottom>
    </border>
    <border>
      <left style="thin">
        <color rgb="FFD2DFEC"/>
      </left>
      <right style="thin">
        <color rgb="FFD2DFEC"/>
      </right>
      <top style="thin">
        <color rgb="FFD2DFEC"/>
      </top>
    </border>
    <border>
      <left style="thin">
        <color rgb="FFD2DFEC"/>
      </left>
      <right style="thin">
        <color rgb="FFD2DFEC"/>
      </right>
    </border>
    <border>
      <left style="thin">
        <color rgb="FFD2DFEC"/>
      </left>
      <right style="thin">
        <color rgb="FFD2DFEC"/>
      </right>
      <bottom style="thin">
        <color rgb="FFD2DFE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top" wrapText="1"/>
    </xf>
    <xf borderId="1" fillId="2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vertical="top"/>
    </xf>
    <xf borderId="2" fillId="2" fontId="1" numFmtId="0" xfId="0" applyAlignment="1" applyBorder="1" applyFont="1">
      <alignment horizontal="center" readingOrder="2" shrinkToFit="0" vertical="top" wrapText="1"/>
    </xf>
    <xf borderId="1" fillId="0" fontId="3" numFmtId="0" xfId="0" applyAlignment="1" applyBorder="1" applyFont="1">
      <alignment horizontal="right" readingOrder="2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right" readingOrder="2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71"/>
    <col customWidth="1" min="2" max="15" width="22.71"/>
    <col customWidth="1" min="16" max="16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27</v>
      </c>
      <c r="O2" s="5" t="s">
        <v>27</v>
      </c>
      <c r="P2" s="3" t="str">
        <f>HYPERLINK("#مجمع!B" &amp; 1, "ورديات اليوم مجمعة")</f>
        <v>ورديات اليوم مجمعة</v>
      </c>
    </row>
    <row r="3">
      <c r="A3" s="6"/>
      <c r="B3" s="5" t="s">
        <v>27</v>
      </c>
      <c r="C3" s="5" t="s">
        <v>27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27</v>
      </c>
      <c r="J3" s="5" t="s">
        <v>27</v>
      </c>
      <c r="K3" s="5" t="s">
        <v>32</v>
      </c>
      <c r="L3" s="5" t="s">
        <v>33</v>
      </c>
      <c r="M3" s="5" t="s">
        <v>27</v>
      </c>
      <c r="N3" s="5" t="s">
        <v>27</v>
      </c>
      <c r="O3" s="5" t="s">
        <v>27</v>
      </c>
      <c r="P3" s="3"/>
    </row>
    <row r="4">
      <c r="A4" s="6"/>
      <c r="B4" s="5" t="s">
        <v>27</v>
      </c>
      <c r="C4" s="5" t="s">
        <v>27</v>
      </c>
      <c r="D4" s="5" t="s">
        <v>27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27</v>
      </c>
      <c r="J4" s="5" t="s">
        <v>27</v>
      </c>
      <c r="K4" s="5" t="s">
        <v>38</v>
      </c>
      <c r="L4" s="5" t="s">
        <v>39</v>
      </c>
      <c r="M4" s="5" t="s">
        <v>27</v>
      </c>
      <c r="N4" s="5" t="s">
        <v>27</v>
      </c>
      <c r="O4" s="5" t="s">
        <v>27</v>
      </c>
      <c r="P4" s="3"/>
    </row>
    <row r="5">
      <c r="A5" s="6"/>
      <c r="B5" s="5" t="s">
        <v>27</v>
      </c>
      <c r="C5" s="5" t="s">
        <v>27</v>
      </c>
      <c r="D5" s="5" t="s">
        <v>27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27</v>
      </c>
      <c r="J5" s="5" t="s">
        <v>27</v>
      </c>
      <c r="K5" s="5" t="s">
        <v>44</v>
      </c>
      <c r="L5" s="5" t="s">
        <v>45</v>
      </c>
      <c r="M5" s="5" t="s">
        <v>27</v>
      </c>
      <c r="N5" s="5" t="s">
        <v>27</v>
      </c>
      <c r="O5" s="5" t="s">
        <v>27</v>
      </c>
      <c r="P5" s="3"/>
    </row>
    <row r="6">
      <c r="A6" s="6"/>
      <c r="B6" s="5" t="s">
        <v>27</v>
      </c>
      <c r="C6" s="5" t="s">
        <v>27</v>
      </c>
      <c r="D6" s="5" t="s">
        <v>27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27</v>
      </c>
      <c r="J6" s="5" t="s">
        <v>27</v>
      </c>
      <c r="K6" s="5" t="s">
        <v>50</v>
      </c>
      <c r="L6" s="5" t="s">
        <v>51</v>
      </c>
      <c r="M6" s="5" t="s">
        <v>27</v>
      </c>
      <c r="N6" s="5" t="s">
        <v>27</v>
      </c>
      <c r="O6" s="5" t="s">
        <v>27</v>
      </c>
      <c r="P6" s="3"/>
    </row>
    <row r="7">
      <c r="A7" s="6"/>
      <c r="B7" s="5" t="s">
        <v>27</v>
      </c>
      <c r="C7" s="5" t="s">
        <v>27</v>
      </c>
      <c r="D7" s="5" t="s">
        <v>27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27</v>
      </c>
      <c r="J7" s="5" t="s">
        <v>27</v>
      </c>
      <c r="K7" s="5" t="s">
        <v>56</v>
      </c>
      <c r="L7" s="5" t="s">
        <v>57</v>
      </c>
      <c r="M7" s="5" t="s">
        <v>27</v>
      </c>
      <c r="N7" s="5" t="s">
        <v>27</v>
      </c>
      <c r="O7" s="5" t="s">
        <v>27</v>
      </c>
      <c r="P7" s="3"/>
    </row>
    <row r="8">
      <c r="A8" s="6"/>
      <c r="B8" s="5" t="s">
        <v>27</v>
      </c>
      <c r="C8" s="5" t="s">
        <v>27</v>
      </c>
      <c r="D8" s="5" t="s">
        <v>27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3"/>
    </row>
    <row r="9">
      <c r="A9" s="6"/>
      <c r="B9" s="5" t="s">
        <v>27</v>
      </c>
      <c r="C9" s="5" t="s">
        <v>27</v>
      </c>
      <c r="D9" s="5" t="s">
        <v>27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3"/>
    </row>
    <row r="10">
      <c r="A10" s="7"/>
      <c r="B10" s="8" t="s">
        <v>27</v>
      </c>
      <c r="C10" s="8" t="s">
        <v>27</v>
      </c>
      <c r="D10" s="8" t="s">
        <v>27</v>
      </c>
      <c r="E10" s="8" t="s">
        <v>66</v>
      </c>
      <c r="F10" s="8" t="s">
        <v>27</v>
      </c>
      <c r="G10" s="8" t="s">
        <v>27</v>
      </c>
      <c r="H10" s="8" t="s">
        <v>67</v>
      </c>
      <c r="I10" s="8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3"/>
    </row>
    <row r="11">
      <c r="A11" s="4" t="s">
        <v>68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50</v>
      </c>
      <c r="O11" s="5" t="s">
        <v>32</v>
      </c>
      <c r="P11" s="3" t="str">
        <f>HYPERLINK("#مجمع!B" &amp; 2, "ورديات اليوم مجمعة")</f>
        <v>ورديات اليوم مجمعة</v>
      </c>
    </row>
    <row r="12">
      <c r="A12" s="6"/>
      <c r="B12" s="5" t="s">
        <v>27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56</v>
      </c>
      <c r="O12" s="5" t="s">
        <v>18</v>
      </c>
      <c r="P12" s="3"/>
    </row>
    <row r="13">
      <c r="A13" s="6"/>
      <c r="B13" s="5" t="s">
        <v>27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34</v>
      </c>
      <c r="O13" s="5" t="s">
        <v>69</v>
      </c>
      <c r="P13" s="3"/>
    </row>
    <row r="14">
      <c r="A14" s="6"/>
      <c r="B14" s="5" t="s">
        <v>27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31</v>
      </c>
      <c r="O14" s="5" t="s">
        <v>64</v>
      </c>
      <c r="P14" s="3"/>
    </row>
    <row r="15">
      <c r="A15" s="6"/>
      <c r="B15" s="5" t="s">
        <v>27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30</v>
      </c>
      <c r="O15" s="5" t="s">
        <v>65</v>
      </c>
      <c r="P15" s="3"/>
    </row>
    <row r="16">
      <c r="A16" s="6"/>
      <c r="B16" s="5" t="s">
        <v>27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54</v>
      </c>
      <c r="O16" s="5" t="s">
        <v>27</v>
      </c>
      <c r="P16" s="3"/>
    </row>
    <row r="17">
      <c r="A17" s="6"/>
      <c r="B17" s="5" t="s">
        <v>27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70</v>
      </c>
      <c r="O17" s="5" t="s">
        <v>27</v>
      </c>
      <c r="P17" s="3"/>
    </row>
    <row r="18">
      <c r="A18" s="7"/>
      <c r="B18" s="8" t="s">
        <v>27</v>
      </c>
      <c r="C18" s="8" t="s">
        <v>27</v>
      </c>
      <c r="D18" s="8" t="s">
        <v>27</v>
      </c>
      <c r="E18" s="8" t="s">
        <v>27</v>
      </c>
      <c r="F18" s="8" t="s">
        <v>27</v>
      </c>
      <c r="G18" s="8" t="s">
        <v>27</v>
      </c>
      <c r="H18" s="8" t="s">
        <v>27</v>
      </c>
      <c r="I18" s="8" t="s">
        <v>27</v>
      </c>
      <c r="J18" s="8" t="s">
        <v>27</v>
      </c>
      <c r="K18" s="8" t="s">
        <v>27</v>
      </c>
      <c r="L18" s="8" t="s">
        <v>27</v>
      </c>
      <c r="M18" s="8" t="s">
        <v>27</v>
      </c>
      <c r="N18" s="5" t="s">
        <v>70</v>
      </c>
      <c r="O18" s="8" t="s">
        <v>27</v>
      </c>
      <c r="P18" s="3"/>
    </row>
    <row r="19">
      <c r="A19" s="4" t="s">
        <v>71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26</v>
      </c>
      <c r="N19" s="5" t="s">
        <v>25</v>
      </c>
      <c r="O19" s="5" t="s">
        <v>33</v>
      </c>
      <c r="P19" s="3" t="str">
        <f>HYPERLINK("#مجمع!B" &amp; 3, "ورديات اليوم مجمعة")</f>
        <v>ورديات اليوم مجمعة</v>
      </c>
    </row>
    <row r="20">
      <c r="A20" s="6"/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33</v>
      </c>
      <c r="N20" s="5" t="s">
        <v>72</v>
      </c>
      <c r="O20" s="5" t="s">
        <v>29</v>
      </c>
      <c r="P20" s="3"/>
    </row>
    <row r="21" ht="15.75" customHeight="1">
      <c r="A21" s="6"/>
      <c r="B21" s="5" t="s">
        <v>27</v>
      </c>
      <c r="C21" s="5" t="s">
        <v>27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62</v>
      </c>
      <c r="N21" s="5" t="s">
        <v>60</v>
      </c>
      <c r="O21" s="5" t="s">
        <v>53</v>
      </c>
      <c r="P21" s="3"/>
    </row>
    <row r="22" ht="15.75" customHeight="1">
      <c r="A22" s="6"/>
      <c r="B22" s="5" t="s">
        <v>27</v>
      </c>
      <c r="C22" s="5" t="s">
        <v>27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54</v>
      </c>
      <c r="O22" s="5" t="s">
        <v>26</v>
      </c>
      <c r="P22" s="3"/>
    </row>
    <row r="23" ht="15.75" customHeight="1">
      <c r="A23" s="6"/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19</v>
      </c>
      <c r="O23" s="5" t="s">
        <v>27</v>
      </c>
      <c r="P23" s="3"/>
    </row>
    <row r="24" ht="15.75" customHeight="1">
      <c r="A24" s="7"/>
      <c r="B24" s="8" t="s">
        <v>27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8" t="s">
        <v>27</v>
      </c>
      <c r="M24" s="8" t="s">
        <v>27</v>
      </c>
      <c r="N24" s="8" t="s">
        <v>63</v>
      </c>
      <c r="O24" s="8" t="s">
        <v>27</v>
      </c>
      <c r="P24" s="3"/>
    </row>
    <row r="25" ht="15.75" customHeight="1">
      <c r="A25" s="4" t="s">
        <v>73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17</v>
      </c>
      <c r="O25" s="5" t="s">
        <v>47</v>
      </c>
      <c r="P25" s="3" t="str">
        <f>HYPERLINK("#مجمع!B" &amp; 4, "ورديات اليوم مجمعة")</f>
        <v>ورديات اليوم مجمعة</v>
      </c>
    </row>
    <row r="26" ht="15.75" customHeight="1">
      <c r="A26" s="6"/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66</v>
      </c>
      <c r="O26" s="5" t="s">
        <v>51</v>
      </c>
      <c r="P26" s="3"/>
    </row>
    <row r="27" ht="15.75" customHeight="1">
      <c r="A27" s="6"/>
      <c r="B27" s="5" t="s">
        <v>27</v>
      </c>
      <c r="C27" s="5" t="s">
        <v>27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52</v>
      </c>
      <c r="O27" s="5" t="s">
        <v>43</v>
      </c>
      <c r="P27" s="3"/>
    </row>
    <row r="28" ht="15.75" customHeight="1">
      <c r="A28" s="6"/>
      <c r="B28" s="5" t="s">
        <v>27</v>
      </c>
      <c r="C28" s="5" t="s">
        <v>27</v>
      </c>
      <c r="D28" s="5" t="s">
        <v>27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42</v>
      </c>
      <c r="O28" s="5" t="s">
        <v>63</v>
      </c>
      <c r="P28" s="3"/>
    </row>
    <row r="29" ht="15.75" customHeight="1">
      <c r="A29" s="6"/>
      <c r="B29" s="5" t="s">
        <v>27</v>
      </c>
      <c r="C29" s="5" t="s">
        <v>27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21</v>
      </c>
      <c r="O29" s="5" t="s">
        <v>27</v>
      </c>
      <c r="P29" s="3"/>
    </row>
    <row r="30" ht="15.75" customHeight="1">
      <c r="A30" s="7"/>
      <c r="B30" s="8" t="s">
        <v>27</v>
      </c>
      <c r="C30" s="8" t="s">
        <v>27</v>
      </c>
      <c r="D30" s="8" t="s">
        <v>27</v>
      </c>
      <c r="E30" s="8" t="s">
        <v>27</v>
      </c>
      <c r="F30" s="8" t="s">
        <v>27</v>
      </c>
      <c r="G30" s="8" t="s">
        <v>27</v>
      </c>
      <c r="H30" s="8" t="s">
        <v>27</v>
      </c>
      <c r="I30" s="8" t="s">
        <v>27</v>
      </c>
      <c r="J30" s="8" t="s">
        <v>27</v>
      </c>
      <c r="K30" s="8" t="s">
        <v>27</v>
      </c>
      <c r="L30" s="8" t="s">
        <v>27</v>
      </c>
      <c r="M30" s="8" t="s">
        <v>27</v>
      </c>
      <c r="N30" s="8" t="s">
        <v>58</v>
      </c>
      <c r="O30" s="8" t="s">
        <v>27</v>
      </c>
      <c r="P30" s="3"/>
    </row>
    <row r="31" ht="15.75" customHeight="1">
      <c r="A31" s="4" t="s">
        <v>74</v>
      </c>
      <c r="B31" s="5" t="s">
        <v>27</v>
      </c>
      <c r="C31" s="5" t="s">
        <v>27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37</v>
      </c>
      <c r="O31" s="5" t="s">
        <v>33</v>
      </c>
      <c r="P31" s="3" t="str">
        <f>HYPERLINK("#مجمع!B" &amp; 5, "ورديات اليوم مجمعة")</f>
        <v>ورديات اليوم مجمعة</v>
      </c>
    </row>
    <row r="32" ht="15.75" customHeight="1">
      <c r="A32" s="6"/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55</v>
      </c>
      <c r="O32" s="5" t="s">
        <v>49</v>
      </c>
      <c r="P32" s="3"/>
    </row>
    <row r="33" ht="15.75" customHeight="1">
      <c r="A33" s="6"/>
      <c r="B33" s="5" t="s">
        <v>27</v>
      </c>
      <c r="C33" s="5" t="s">
        <v>27</v>
      </c>
      <c r="D33" s="5" t="s">
        <v>27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40</v>
      </c>
      <c r="O33" s="5" t="s">
        <v>63</v>
      </c>
      <c r="P33" s="3"/>
    </row>
    <row r="34" ht="15.75" customHeight="1">
      <c r="A34" s="6"/>
      <c r="B34" s="5" t="s">
        <v>27</v>
      </c>
      <c r="C34" s="5" t="s">
        <v>27</v>
      </c>
      <c r="D34" s="5" t="s">
        <v>27</v>
      </c>
      <c r="E34" s="5" t="s">
        <v>27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16</v>
      </c>
      <c r="O34" s="5" t="s">
        <v>27</v>
      </c>
      <c r="P34" s="3"/>
    </row>
    <row r="35" ht="15.75" customHeight="1">
      <c r="A35" s="7"/>
      <c r="B35" s="8" t="s">
        <v>27</v>
      </c>
      <c r="C35" s="8" t="s">
        <v>27</v>
      </c>
      <c r="D35" s="8" t="s">
        <v>27</v>
      </c>
      <c r="E35" s="8" t="s">
        <v>27</v>
      </c>
      <c r="F35" s="8" t="s">
        <v>27</v>
      </c>
      <c r="G35" s="8" t="s">
        <v>27</v>
      </c>
      <c r="H35" s="8" t="s">
        <v>27</v>
      </c>
      <c r="I35" s="8" t="s">
        <v>27</v>
      </c>
      <c r="J35" s="8" t="s">
        <v>27</v>
      </c>
      <c r="K35" s="8" t="s">
        <v>27</v>
      </c>
      <c r="L35" s="8" t="s">
        <v>27</v>
      </c>
      <c r="M35" s="8" t="s">
        <v>27</v>
      </c>
      <c r="N35" s="8" t="s">
        <v>22</v>
      </c>
      <c r="O35" s="8" t="s">
        <v>27</v>
      </c>
      <c r="P35" s="3"/>
    </row>
    <row r="36" ht="15.75" customHeight="1">
      <c r="A36" s="4" t="s">
        <v>75</v>
      </c>
      <c r="B36" s="5" t="s">
        <v>76</v>
      </c>
      <c r="C36" s="5" t="s">
        <v>65</v>
      </c>
      <c r="D36" s="5" t="s">
        <v>27</v>
      </c>
      <c r="E36" s="5" t="s">
        <v>77</v>
      </c>
      <c r="F36" s="5" t="s">
        <v>38</v>
      </c>
      <c r="G36" s="5" t="s">
        <v>78</v>
      </c>
      <c r="H36" s="5" t="s">
        <v>43</v>
      </c>
      <c r="I36" s="5" t="s">
        <v>42</v>
      </c>
      <c r="J36" s="5" t="s">
        <v>65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27</v>
      </c>
      <c r="P36" s="3" t="str">
        <f>HYPERLINK("#مجمع!B" &amp; 6, "ورديات اليوم مجمعة")</f>
        <v>ورديات اليوم مجمعة</v>
      </c>
    </row>
    <row r="37" ht="15.75" customHeight="1">
      <c r="A37" s="6"/>
      <c r="B37" s="5" t="s">
        <v>27</v>
      </c>
      <c r="C37" s="5" t="s">
        <v>27</v>
      </c>
      <c r="D37" s="5" t="s">
        <v>27</v>
      </c>
      <c r="E37" s="5" t="s">
        <v>66</v>
      </c>
      <c r="F37" s="5" t="s">
        <v>67</v>
      </c>
      <c r="G37" s="5" t="s">
        <v>79</v>
      </c>
      <c r="H37" s="5" t="s">
        <v>16</v>
      </c>
      <c r="I37" s="5" t="s">
        <v>27</v>
      </c>
      <c r="J37" s="5" t="s">
        <v>27</v>
      </c>
      <c r="K37" s="5" t="s">
        <v>16</v>
      </c>
      <c r="L37" s="5" t="s">
        <v>33</v>
      </c>
      <c r="M37" s="5" t="s">
        <v>27</v>
      </c>
      <c r="N37" s="5" t="s">
        <v>27</v>
      </c>
      <c r="O37" s="5" t="s">
        <v>27</v>
      </c>
      <c r="P37" s="3"/>
    </row>
    <row r="38" ht="15.75" customHeight="1">
      <c r="A38" s="6"/>
      <c r="B38" s="5" t="s">
        <v>27</v>
      </c>
      <c r="C38" s="5" t="s">
        <v>27</v>
      </c>
      <c r="D38" s="5" t="s">
        <v>27</v>
      </c>
      <c r="E38" s="5" t="s">
        <v>48</v>
      </c>
      <c r="F38" s="5" t="s">
        <v>53</v>
      </c>
      <c r="G38" s="5" t="s">
        <v>80</v>
      </c>
      <c r="H38" s="5" t="s">
        <v>40</v>
      </c>
      <c r="I38" s="5" t="s">
        <v>27</v>
      </c>
      <c r="J38" s="5" t="s">
        <v>27</v>
      </c>
      <c r="K38" s="5" t="s">
        <v>81</v>
      </c>
      <c r="L38" s="5" t="s">
        <v>82</v>
      </c>
      <c r="M38" s="5" t="s">
        <v>27</v>
      </c>
      <c r="N38" s="5" t="s">
        <v>27</v>
      </c>
      <c r="O38" s="5" t="s">
        <v>27</v>
      </c>
      <c r="P38" s="3"/>
    </row>
    <row r="39" ht="15.75" customHeight="1">
      <c r="A39" s="6"/>
      <c r="B39" s="5" t="s">
        <v>27</v>
      </c>
      <c r="C39" s="5" t="s">
        <v>27</v>
      </c>
      <c r="D39" s="5" t="s">
        <v>27</v>
      </c>
      <c r="E39" s="5" t="s">
        <v>28</v>
      </c>
      <c r="F39" s="5" t="s">
        <v>20</v>
      </c>
      <c r="G39" s="5" t="s">
        <v>72</v>
      </c>
      <c r="H39" s="5" t="s">
        <v>83</v>
      </c>
      <c r="I39" s="5" t="s">
        <v>27</v>
      </c>
      <c r="J39" s="5" t="s">
        <v>27</v>
      </c>
      <c r="K39" s="5" t="s">
        <v>38</v>
      </c>
      <c r="L39" s="5" t="s">
        <v>22</v>
      </c>
      <c r="M39" s="5" t="s">
        <v>27</v>
      </c>
      <c r="N39" s="5" t="s">
        <v>27</v>
      </c>
      <c r="O39" s="5" t="s">
        <v>27</v>
      </c>
      <c r="P39" s="3"/>
    </row>
    <row r="40" ht="15.75" customHeight="1">
      <c r="A40" s="6"/>
      <c r="B40" s="5" t="s">
        <v>27</v>
      </c>
      <c r="C40" s="5" t="s">
        <v>27</v>
      </c>
      <c r="D40" s="5" t="s">
        <v>27</v>
      </c>
      <c r="E40" s="5" t="s">
        <v>46</v>
      </c>
      <c r="F40" s="5" t="s">
        <v>51</v>
      </c>
      <c r="G40" s="5" t="s">
        <v>69</v>
      </c>
      <c r="H40" s="5" t="s">
        <v>61</v>
      </c>
      <c r="I40" s="5" t="s">
        <v>27</v>
      </c>
      <c r="J40" s="5" t="s">
        <v>27</v>
      </c>
      <c r="K40" s="5" t="s">
        <v>39</v>
      </c>
      <c r="L40" s="5" t="s">
        <v>63</v>
      </c>
      <c r="M40" s="5" t="s">
        <v>27</v>
      </c>
      <c r="N40" s="5" t="s">
        <v>27</v>
      </c>
      <c r="O40" s="5" t="s">
        <v>27</v>
      </c>
      <c r="P40" s="3"/>
    </row>
    <row r="41" ht="15.75" customHeight="1">
      <c r="A41" s="6"/>
      <c r="B41" s="5" t="s">
        <v>27</v>
      </c>
      <c r="C41" s="5" t="s">
        <v>27</v>
      </c>
      <c r="D41" s="5" t="s">
        <v>27</v>
      </c>
      <c r="E41" s="5" t="s">
        <v>84</v>
      </c>
      <c r="F41" s="5" t="s">
        <v>47</v>
      </c>
      <c r="G41" s="5" t="s">
        <v>36</v>
      </c>
      <c r="H41" s="5" t="s">
        <v>31</v>
      </c>
      <c r="I41" s="5" t="s">
        <v>27</v>
      </c>
      <c r="J41" s="5" t="s">
        <v>27</v>
      </c>
      <c r="K41" s="5" t="s">
        <v>85</v>
      </c>
      <c r="L41" s="5" t="s">
        <v>86</v>
      </c>
      <c r="M41" s="5" t="s">
        <v>27</v>
      </c>
      <c r="N41" s="5" t="s">
        <v>27</v>
      </c>
      <c r="O41" s="5" t="s">
        <v>27</v>
      </c>
      <c r="P41" s="3"/>
    </row>
    <row r="42" ht="15.75" customHeight="1">
      <c r="A42" s="6"/>
      <c r="B42" s="5" t="s">
        <v>27</v>
      </c>
      <c r="C42" s="5" t="s">
        <v>27</v>
      </c>
      <c r="D42" s="5" t="s">
        <v>27</v>
      </c>
      <c r="E42" s="5" t="s">
        <v>64</v>
      </c>
      <c r="F42" s="5" t="s">
        <v>35</v>
      </c>
      <c r="G42" s="5" t="s">
        <v>54</v>
      </c>
      <c r="H42" s="5" t="s">
        <v>55</v>
      </c>
      <c r="I42" s="5" t="s">
        <v>27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3"/>
    </row>
    <row r="43" ht="15.75" customHeight="1">
      <c r="A43" s="6"/>
      <c r="B43" s="5" t="s">
        <v>27</v>
      </c>
      <c r="C43" s="5" t="s">
        <v>27</v>
      </c>
      <c r="D43" s="5" t="s">
        <v>27</v>
      </c>
      <c r="E43" s="5" t="s">
        <v>32</v>
      </c>
      <c r="F43" s="5" t="s">
        <v>87</v>
      </c>
      <c r="G43" s="5" t="s">
        <v>45</v>
      </c>
      <c r="H43" s="5" t="s">
        <v>28</v>
      </c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3"/>
    </row>
    <row r="44" ht="15.75" customHeight="1">
      <c r="A44" s="7"/>
      <c r="B44" s="8" t="s">
        <v>27</v>
      </c>
      <c r="C44" s="8" t="s">
        <v>27</v>
      </c>
      <c r="D44" s="8" t="s">
        <v>27</v>
      </c>
      <c r="E44" s="8" t="s">
        <v>58</v>
      </c>
      <c r="F44" s="8" t="s">
        <v>27</v>
      </c>
      <c r="G44" s="8" t="s">
        <v>27</v>
      </c>
      <c r="H44" s="5" t="s">
        <v>40</v>
      </c>
      <c r="I44" s="8" t="s">
        <v>27</v>
      </c>
      <c r="J44" s="8" t="s">
        <v>27</v>
      </c>
      <c r="K44" s="8" t="s">
        <v>27</v>
      </c>
      <c r="L44" s="8" t="s">
        <v>27</v>
      </c>
      <c r="M44" s="8" t="s">
        <v>27</v>
      </c>
      <c r="N44" s="8" t="s">
        <v>27</v>
      </c>
      <c r="O44" s="8" t="s">
        <v>27</v>
      </c>
      <c r="P44" s="3"/>
    </row>
    <row r="45" ht="15.75" customHeight="1">
      <c r="A45" s="4" t="s">
        <v>88</v>
      </c>
      <c r="B45" s="5" t="s">
        <v>27</v>
      </c>
      <c r="C45" s="5" t="s">
        <v>27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47</v>
      </c>
      <c r="N45" s="5" t="s">
        <v>36</v>
      </c>
      <c r="O45" s="5" t="s">
        <v>35</v>
      </c>
      <c r="P45" s="3" t="str">
        <f>HYPERLINK("#مجمع!B" &amp; 7, "ورديات اليوم مجمعة")</f>
        <v>ورديات اليوم مجمعة</v>
      </c>
    </row>
    <row r="46" ht="15.75" customHeight="1">
      <c r="A46" s="6"/>
      <c r="B46" s="5" t="s">
        <v>27</v>
      </c>
      <c r="C46" s="5" t="s">
        <v>27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17</v>
      </c>
      <c r="N46" s="5" t="s">
        <v>45</v>
      </c>
      <c r="O46" s="5" t="s">
        <v>24</v>
      </c>
      <c r="P46" s="3"/>
    </row>
    <row r="47" ht="15.75" customHeight="1">
      <c r="A47" s="6"/>
      <c r="B47" s="5" t="s">
        <v>27</v>
      </c>
      <c r="C47" s="5" t="s">
        <v>27</v>
      </c>
      <c r="D47" s="5" t="s">
        <v>27</v>
      </c>
      <c r="E47" s="5" t="s">
        <v>27</v>
      </c>
      <c r="F47" s="5" t="s">
        <v>27</v>
      </c>
      <c r="G47" s="5" t="s">
        <v>27</v>
      </c>
      <c r="H47" s="5" t="s">
        <v>27</v>
      </c>
      <c r="I47" s="5" t="s">
        <v>27</v>
      </c>
      <c r="J47" s="5" t="s">
        <v>27</v>
      </c>
      <c r="K47" s="5" t="s">
        <v>27</v>
      </c>
      <c r="L47" s="5" t="s">
        <v>27</v>
      </c>
      <c r="M47" s="5" t="s">
        <v>82</v>
      </c>
      <c r="N47" s="5" t="s">
        <v>65</v>
      </c>
      <c r="O47" s="5" t="s">
        <v>41</v>
      </c>
      <c r="P47" s="3"/>
    </row>
    <row r="48" ht="15.75" customHeight="1">
      <c r="A48" s="6"/>
      <c r="B48" s="5" t="s">
        <v>27</v>
      </c>
      <c r="C48" s="5" t="s">
        <v>27</v>
      </c>
      <c r="D48" s="5" t="s">
        <v>27</v>
      </c>
      <c r="E48" s="5" t="s">
        <v>27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77</v>
      </c>
      <c r="O48" s="5" t="s">
        <v>67</v>
      </c>
      <c r="P48" s="3"/>
    </row>
    <row r="49" ht="15.75" customHeight="1">
      <c r="A49" s="6"/>
      <c r="B49" s="5" t="s">
        <v>27</v>
      </c>
      <c r="C49" s="5" t="s">
        <v>27</v>
      </c>
      <c r="D49" s="5" t="s">
        <v>27</v>
      </c>
      <c r="E49" s="5" t="s">
        <v>27</v>
      </c>
      <c r="F49" s="5" t="s">
        <v>27</v>
      </c>
      <c r="G49" s="5" t="s">
        <v>27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27</v>
      </c>
      <c r="M49" s="5" t="s">
        <v>27</v>
      </c>
      <c r="N49" s="5" t="s">
        <v>43</v>
      </c>
      <c r="O49" s="5" t="s">
        <v>76</v>
      </c>
      <c r="P49" s="3"/>
    </row>
    <row r="50" ht="15.75" customHeight="1">
      <c r="A50" s="6"/>
      <c r="B50" s="5" t="s">
        <v>27</v>
      </c>
      <c r="C50" s="5" t="s">
        <v>27</v>
      </c>
      <c r="D50" s="5" t="s">
        <v>27</v>
      </c>
      <c r="E50" s="5" t="s">
        <v>27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32</v>
      </c>
      <c r="O50" s="5" t="s">
        <v>27</v>
      </c>
      <c r="P50" s="3"/>
    </row>
    <row r="51" ht="15.75" customHeight="1">
      <c r="A51" s="6"/>
      <c r="B51" s="5" t="s">
        <v>27</v>
      </c>
      <c r="C51" s="5" t="s">
        <v>27</v>
      </c>
      <c r="D51" s="5" t="s">
        <v>27</v>
      </c>
      <c r="E51" s="5" t="s">
        <v>27</v>
      </c>
      <c r="F51" s="5" t="s">
        <v>27</v>
      </c>
      <c r="G51" s="5" t="s">
        <v>27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5" t="s">
        <v>28</v>
      </c>
      <c r="O51" s="5" t="s">
        <v>27</v>
      </c>
      <c r="P51" s="3"/>
    </row>
    <row r="52" ht="15.75" customHeight="1">
      <c r="A52" s="7"/>
      <c r="B52" s="8" t="s">
        <v>27</v>
      </c>
      <c r="C52" s="8" t="s">
        <v>27</v>
      </c>
      <c r="D52" s="8" t="s">
        <v>27</v>
      </c>
      <c r="E52" s="8" t="s">
        <v>27</v>
      </c>
      <c r="F52" s="8" t="s">
        <v>27</v>
      </c>
      <c r="G52" s="8" t="s">
        <v>27</v>
      </c>
      <c r="H52" s="8" t="s">
        <v>27</v>
      </c>
      <c r="I52" s="8" t="s">
        <v>27</v>
      </c>
      <c r="J52" s="8" t="s">
        <v>27</v>
      </c>
      <c r="K52" s="8" t="s">
        <v>27</v>
      </c>
      <c r="L52" s="8" t="s">
        <v>27</v>
      </c>
      <c r="M52" s="8" t="s">
        <v>27</v>
      </c>
      <c r="N52" s="8" t="s">
        <v>58</v>
      </c>
      <c r="O52" s="8" t="s">
        <v>27</v>
      </c>
      <c r="P52" s="3"/>
    </row>
    <row r="53" ht="15.75" customHeight="1">
      <c r="A53" s="4" t="s">
        <v>89</v>
      </c>
      <c r="B53" s="5" t="s">
        <v>79</v>
      </c>
      <c r="C53" s="5" t="s">
        <v>76</v>
      </c>
      <c r="D53" s="5" t="s">
        <v>17</v>
      </c>
      <c r="E53" s="5" t="s">
        <v>58</v>
      </c>
      <c r="F53" s="5" t="s">
        <v>59</v>
      </c>
      <c r="G53" s="5" t="s">
        <v>30</v>
      </c>
      <c r="H53" s="5" t="s">
        <v>82</v>
      </c>
      <c r="I53" s="5" t="s">
        <v>69</v>
      </c>
      <c r="J53" s="5" t="s">
        <v>35</v>
      </c>
      <c r="K53" s="5" t="s">
        <v>54</v>
      </c>
      <c r="L53" s="5" t="s">
        <v>26</v>
      </c>
      <c r="M53" s="5" t="s">
        <v>27</v>
      </c>
      <c r="N53" s="5" t="s">
        <v>27</v>
      </c>
      <c r="O53" s="5" t="s">
        <v>27</v>
      </c>
      <c r="P53" s="3" t="str">
        <f>HYPERLINK("#مجمع!B" &amp; 8, "ورديات اليوم مجمعة")</f>
        <v>ورديات اليوم مجمعة</v>
      </c>
    </row>
    <row r="54" ht="15.75" customHeight="1">
      <c r="A54" s="6"/>
      <c r="B54" s="5" t="s">
        <v>27</v>
      </c>
      <c r="C54" s="5" t="s">
        <v>27</v>
      </c>
      <c r="D54" s="5" t="s">
        <v>27</v>
      </c>
      <c r="E54" s="5" t="s">
        <v>25</v>
      </c>
      <c r="F54" s="5" t="s">
        <v>29</v>
      </c>
      <c r="G54" s="5" t="s">
        <v>78</v>
      </c>
      <c r="H54" s="5" t="s">
        <v>37</v>
      </c>
      <c r="I54" s="5" t="s">
        <v>27</v>
      </c>
      <c r="J54" s="5" t="s">
        <v>27</v>
      </c>
      <c r="K54" s="5" t="s">
        <v>36</v>
      </c>
      <c r="L54" s="5" t="s">
        <v>86</v>
      </c>
      <c r="M54" s="5" t="s">
        <v>27</v>
      </c>
      <c r="N54" s="5" t="s">
        <v>27</v>
      </c>
      <c r="O54" s="5" t="s">
        <v>27</v>
      </c>
      <c r="P54" s="3"/>
    </row>
    <row r="55" ht="15.75" customHeight="1">
      <c r="A55" s="6"/>
      <c r="B55" s="5" t="s">
        <v>27</v>
      </c>
      <c r="C55" s="5" t="s">
        <v>27</v>
      </c>
      <c r="D55" s="5" t="s">
        <v>27</v>
      </c>
      <c r="E55" s="5" t="s">
        <v>18</v>
      </c>
      <c r="F55" s="5" t="s">
        <v>70</v>
      </c>
      <c r="G55" s="5" t="s">
        <v>62</v>
      </c>
      <c r="H55" s="5" t="s">
        <v>49</v>
      </c>
      <c r="I55" s="5" t="s">
        <v>27</v>
      </c>
      <c r="J55" s="5" t="s">
        <v>27</v>
      </c>
      <c r="K55" s="5" t="s">
        <v>48</v>
      </c>
      <c r="L55" s="5" t="s">
        <v>33</v>
      </c>
      <c r="M55" s="5" t="s">
        <v>27</v>
      </c>
      <c r="N55" s="5" t="s">
        <v>27</v>
      </c>
      <c r="O55" s="5" t="s">
        <v>27</v>
      </c>
      <c r="P55" s="3"/>
    </row>
    <row r="56" ht="15.75" customHeight="1">
      <c r="A56" s="6"/>
      <c r="B56" s="5" t="s">
        <v>27</v>
      </c>
      <c r="C56" s="5" t="s">
        <v>27</v>
      </c>
      <c r="D56" s="5" t="s">
        <v>27</v>
      </c>
      <c r="E56" s="5" t="s">
        <v>56</v>
      </c>
      <c r="F56" s="5" t="s">
        <v>32</v>
      </c>
      <c r="G56" s="5" t="s">
        <v>21</v>
      </c>
      <c r="H56" s="5" t="s">
        <v>20</v>
      </c>
      <c r="I56" s="5" t="s">
        <v>27</v>
      </c>
      <c r="J56" s="5" t="s">
        <v>27</v>
      </c>
      <c r="K56" s="5" t="s">
        <v>44</v>
      </c>
      <c r="L56" s="5" t="s">
        <v>57</v>
      </c>
      <c r="M56" s="5" t="s">
        <v>27</v>
      </c>
      <c r="N56" s="5" t="s">
        <v>27</v>
      </c>
      <c r="O56" s="5" t="s">
        <v>27</v>
      </c>
      <c r="P56" s="3"/>
    </row>
    <row r="57" ht="15.75" customHeight="1">
      <c r="A57" s="6"/>
      <c r="B57" s="5" t="s">
        <v>27</v>
      </c>
      <c r="C57" s="5" t="s">
        <v>27</v>
      </c>
      <c r="D57" s="5" t="s">
        <v>27</v>
      </c>
      <c r="E57" s="5" t="s">
        <v>34</v>
      </c>
      <c r="F57" s="5" t="s">
        <v>53</v>
      </c>
      <c r="G57" s="5" t="s">
        <v>72</v>
      </c>
      <c r="H57" s="5" t="s">
        <v>43</v>
      </c>
      <c r="I57" s="5" t="s">
        <v>27</v>
      </c>
      <c r="J57" s="5" t="s">
        <v>27</v>
      </c>
      <c r="K57" s="5" t="s">
        <v>41</v>
      </c>
      <c r="L57" s="5" t="s">
        <v>81</v>
      </c>
      <c r="M57" s="5" t="s">
        <v>27</v>
      </c>
      <c r="N57" s="5" t="s">
        <v>27</v>
      </c>
      <c r="O57" s="5" t="s">
        <v>27</v>
      </c>
      <c r="P57" s="3"/>
    </row>
    <row r="58" ht="15.75" customHeight="1">
      <c r="A58" s="6"/>
      <c r="B58" s="5" t="s">
        <v>27</v>
      </c>
      <c r="C58" s="5" t="s">
        <v>27</v>
      </c>
      <c r="D58" s="5" t="s">
        <v>27</v>
      </c>
      <c r="E58" s="5" t="s">
        <v>52</v>
      </c>
      <c r="F58" s="5" t="s">
        <v>47</v>
      </c>
      <c r="G58" s="5" t="s">
        <v>45</v>
      </c>
      <c r="H58" s="5" t="s">
        <v>55</v>
      </c>
      <c r="I58" s="5" t="s">
        <v>27</v>
      </c>
      <c r="J58" s="5" t="s">
        <v>27</v>
      </c>
      <c r="K58" s="5" t="s">
        <v>84</v>
      </c>
      <c r="L58" s="5" t="s">
        <v>39</v>
      </c>
      <c r="M58" s="5" t="s">
        <v>27</v>
      </c>
      <c r="N58" s="5" t="s">
        <v>27</v>
      </c>
      <c r="O58" s="5" t="s">
        <v>27</v>
      </c>
      <c r="P58" s="3"/>
    </row>
    <row r="59" ht="15.75" customHeight="1">
      <c r="A59" s="6"/>
      <c r="B59" s="5" t="s">
        <v>27</v>
      </c>
      <c r="C59" s="5" t="s">
        <v>27</v>
      </c>
      <c r="D59" s="5" t="s">
        <v>27</v>
      </c>
      <c r="E59" s="5" t="s">
        <v>19</v>
      </c>
      <c r="F59" s="5" t="s">
        <v>61</v>
      </c>
      <c r="G59" s="5" t="s">
        <v>63</v>
      </c>
      <c r="H59" s="5" t="s">
        <v>83</v>
      </c>
      <c r="I59" s="5" t="s">
        <v>27</v>
      </c>
      <c r="J59" s="5" t="s">
        <v>27</v>
      </c>
      <c r="K59" s="5" t="s">
        <v>27</v>
      </c>
      <c r="L59" s="5" t="s">
        <v>27</v>
      </c>
      <c r="M59" s="5" t="s">
        <v>27</v>
      </c>
      <c r="N59" s="5" t="s">
        <v>27</v>
      </c>
      <c r="O59" s="5" t="s">
        <v>27</v>
      </c>
      <c r="P59" s="3"/>
    </row>
    <row r="60" ht="15.75" customHeight="1">
      <c r="A60" s="6"/>
      <c r="B60" s="5" t="s">
        <v>27</v>
      </c>
      <c r="C60" s="5" t="s">
        <v>27</v>
      </c>
      <c r="D60" s="5" t="s">
        <v>27</v>
      </c>
      <c r="E60" s="5" t="s">
        <v>50</v>
      </c>
      <c r="F60" s="5" t="s">
        <v>51</v>
      </c>
      <c r="G60" s="5" t="s">
        <v>85</v>
      </c>
      <c r="H60" s="5" t="s">
        <v>42</v>
      </c>
      <c r="I60" s="5" t="s">
        <v>27</v>
      </c>
      <c r="J60" s="5" t="s">
        <v>27</v>
      </c>
      <c r="K60" s="5" t="s">
        <v>27</v>
      </c>
      <c r="L60" s="5" t="s">
        <v>27</v>
      </c>
      <c r="M60" s="5" t="s">
        <v>27</v>
      </c>
      <c r="N60" s="5" t="s">
        <v>27</v>
      </c>
      <c r="O60" s="5" t="s">
        <v>27</v>
      </c>
      <c r="P60" s="3"/>
    </row>
    <row r="61" ht="15.75" customHeight="1">
      <c r="A61" s="7"/>
      <c r="B61" s="8" t="s">
        <v>27</v>
      </c>
      <c r="C61" s="8" t="s">
        <v>27</v>
      </c>
      <c r="D61" s="8" t="s">
        <v>27</v>
      </c>
      <c r="E61" s="8" t="s">
        <v>87</v>
      </c>
      <c r="F61" s="8" t="s">
        <v>27</v>
      </c>
      <c r="G61" s="8" t="s">
        <v>27</v>
      </c>
      <c r="H61" s="8" t="s">
        <v>23</v>
      </c>
      <c r="I61" s="8" t="s">
        <v>27</v>
      </c>
      <c r="J61" s="8" t="s">
        <v>27</v>
      </c>
      <c r="K61" s="8" t="s">
        <v>27</v>
      </c>
      <c r="L61" s="8" t="s">
        <v>27</v>
      </c>
      <c r="M61" s="8" t="s">
        <v>27</v>
      </c>
      <c r="N61" s="8" t="s">
        <v>27</v>
      </c>
      <c r="O61" s="8" t="s">
        <v>27</v>
      </c>
      <c r="P61" s="3"/>
    </row>
    <row r="62" ht="15.75" customHeight="1">
      <c r="A62" s="4" t="s">
        <v>90</v>
      </c>
      <c r="B62" s="5" t="s">
        <v>27</v>
      </c>
      <c r="C62" s="5" t="s">
        <v>27</v>
      </c>
      <c r="D62" s="5" t="s">
        <v>27</v>
      </c>
      <c r="E62" s="5" t="s">
        <v>27</v>
      </c>
      <c r="F62" s="5" t="s">
        <v>27</v>
      </c>
      <c r="G62" s="5" t="s">
        <v>27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5" t="s">
        <v>27</v>
      </c>
      <c r="N62" s="5" t="s">
        <v>36</v>
      </c>
      <c r="O62" s="5" t="s">
        <v>20</v>
      </c>
      <c r="P62" s="3" t="str">
        <f>HYPERLINK("#مجمع!B" &amp; 9, "ورديات اليوم مجمعة")</f>
        <v>ورديات اليوم مجمعة</v>
      </c>
    </row>
    <row r="63" ht="15.75" customHeight="1">
      <c r="A63" s="6"/>
      <c r="B63" s="5" t="s">
        <v>27</v>
      </c>
      <c r="C63" s="5" t="s">
        <v>27</v>
      </c>
      <c r="D63" s="5" t="s">
        <v>27</v>
      </c>
      <c r="E63" s="5" t="s">
        <v>27</v>
      </c>
      <c r="F63" s="5" t="s">
        <v>27</v>
      </c>
      <c r="G63" s="5" t="s">
        <v>27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5" t="s">
        <v>27</v>
      </c>
      <c r="N63" s="5" t="s">
        <v>51</v>
      </c>
      <c r="O63" s="5" t="s">
        <v>64</v>
      </c>
      <c r="P63" s="3"/>
    </row>
    <row r="64" ht="15.75" customHeight="1">
      <c r="A64" s="6"/>
      <c r="B64" s="5" t="s">
        <v>27</v>
      </c>
      <c r="C64" s="5" t="s">
        <v>27</v>
      </c>
      <c r="D64" s="5" t="s">
        <v>27</v>
      </c>
      <c r="E64" s="5" t="s">
        <v>27</v>
      </c>
      <c r="F64" s="5" t="s">
        <v>27</v>
      </c>
      <c r="G64" s="5" t="s">
        <v>27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5" t="s">
        <v>27</v>
      </c>
      <c r="N64" s="5" t="s">
        <v>72</v>
      </c>
      <c r="O64" s="5" t="s">
        <v>69</v>
      </c>
      <c r="P64" s="3"/>
    </row>
    <row r="65" ht="15.75" customHeight="1">
      <c r="A65" s="6"/>
      <c r="B65" s="5" t="s">
        <v>27</v>
      </c>
      <c r="C65" s="5" t="s">
        <v>27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5" t="s">
        <v>27</v>
      </c>
      <c r="N65" s="5" t="s">
        <v>45</v>
      </c>
      <c r="O65" s="5" t="s">
        <v>57</v>
      </c>
      <c r="P65" s="3"/>
    </row>
    <row r="66" ht="15.75" customHeight="1">
      <c r="A66" s="6"/>
      <c r="B66" s="5" t="s">
        <v>27</v>
      </c>
      <c r="C66" s="5" t="s">
        <v>27</v>
      </c>
      <c r="D66" s="5" t="s">
        <v>27</v>
      </c>
      <c r="E66" s="5" t="s">
        <v>27</v>
      </c>
      <c r="F66" s="5" t="s">
        <v>27</v>
      </c>
      <c r="G66" s="5" t="s">
        <v>27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84</v>
      </c>
      <c r="O66" s="5" t="s">
        <v>32</v>
      </c>
      <c r="P66" s="3"/>
    </row>
    <row r="67" ht="15.75" customHeight="1">
      <c r="A67" s="6"/>
      <c r="B67" s="5" t="s">
        <v>27</v>
      </c>
      <c r="C67" s="5" t="s">
        <v>27</v>
      </c>
      <c r="D67" s="5" t="s">
        <v>27</v>
      </c>
      <c r="E67" s="5" t="s">
        <v>27</v>
      </c>
      <c r="F67" s="5" t="s">
        <v>27</v>
      </c>
      <c r="G67" s="5" t="s">
        <v>27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61</v>
      </c>
      <c r="O67" s="5" t="s">
        <v>27</v>
      </c>
      <c r="P67" s="3"/>
    </row>
    <row r="68" ht="15.75" customHeight="1">
      <c r="A68" s="6"/>
      <c r="B68" s="5" t="s">
        <v>27</v>
      </c>
      <c r="C68" s="5" t="s">
        <v>27</v>
      </c>
      <c r="D68" s="5" t="s">
        <v>27</v>
      </c>
      <c r="E68" s="5" t="s">
        <v>27</v>
      </c>
      <c r="F68" s="5" t="s">
        <v>27</v>
      </c>
      <c r="G68" s="5" t="s">
        <v>27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31</v>
      </c>
      <c r="O68" s="5" t="s">
        <v>27</v>
      </c>
      <c r="P68" s="3"/>
    </row>
    <row r="69" ht="15.75" customHeight="1">
      <c r="A69" s="7"/>
      <c r="B69" s="8" t="s">
        <v>27</v>
      </c>
      <c r="C69" s="8" t="s">
        <v>27</v>
      </c>
      <c r="D69" s="8" t="s">
        <v>27</v>
      </c>
      <c r="E69" s="8" t="s">
        <v>27</v>
      </c>
      <c r="F69" s="8" t="s">
        <v>27</v>
      </c>
      <c r="G69" s="8" t="s">
        <v>27</v>
      </c>
      <c r="H69" s="8" t="s">
        <v>27</v>
      </c>
      <c r="I69" s="8" t="s">
        <v>27</v>
      </c>
      <c r="J69" s="8" t="s">
        <v>27</v>
      </c>
      <c r="K69" s="8" t="s">
        <v>27</v>
      </c>
      <c r="L69" s="8" t="s">
        <v>27</v>
      </c>
      <c r="M69" s="8" t="s">
        <v>27</v>
      </c>
      <c r="N69" s="8" t="s">
        <v>87</v>
      </c>
      <c r="O69" s="8" t="s">
        <v>27</v>
      </c>
      <c r="P69" s="3"/>
    </row>
    <row r="70" ht="15.75" customHeight="1">
      <c r="A70" s="4" t="s">
        <v>91</v>
      </c>
      <c r="B70" s="5" t="s">
        <v>27</v>
      </c>
      <c r="C70" s="5" t="s">
        <v>27</v>
      </c>
      <c r="D70" s="5" t="s">
        <v>27</v>
      </c>
      <c r="E70" s="5" t="s">
        <v>27</v>
      </c>
      <c r="F70" s="5" t="s">
        <v>27</v>
      </c>
      <c r="G70" s="5" t="s">
        <v>27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5" t="s">
        <v>28</v>
      </c>
      <c r="N70" s="5" t="s">
        <v>54</v>
      </c>
      <c r="O70" s="5" t="s">
        <v>41</v>
      </c>
      <c r="P70" s="3" t="str">
        <f>HYPERLINK("#مجمع!B" &amp; 10, "ورديات اليوم مجمعة")</f>
        <v>ورديات اليوم مجمعة</v>
      </c>
    </row>
    <row r="71" ht="15.75" customHeight="1">
      <c r="A71" s="6"/>
      <c r="B71" s="5" t="s">
        <v>27</v>
      </c>
      <c r="C71" s="5" t="s">
        <v>27</v>
      </c>
      <c r="D71" s="5" t="s">
        <v>27</v>
      </c>
      <c r="E71" s="5" t="s">
        <v>27</v>
      </c>
      <c r="F71" s="5" t="s">
        <v>27</v>
      </c>
      <c r="G71" s="5" t="s">
        <v>27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5" t="s">
        <v>39</v>
      </c>
      <c r="N71" s="5" t="s">
        <v>62</v>
      </c>
      <c r="O71" s="5" t="s">
        <v>53</v>
      </c>
      <c r="P71" s="3"/>
    </row>
    <row r="72" ht="15.75" customHeight="1">
      <c r="A72" s="6"/>
      <c r="B72" s="5" t="s">
        <v>27</v>
      </c>
      <c r="C72" s="5" t="s">
        <v>27</v>
      </c>
      <c r="D72" s="5" t="s">
        <v>27</v>
      </c>
      <c r="E72" s="5" t="s">
        <v>27</v>
      </c>
      <c r="F72" s="5" t="s">
        <v>27</v>
      </c>
      <c r="G72" s="5" t="s">
        <v>27</v>
      </c>
      <c r="H72" s="5" t="s">
        <v>27</v>
      </c>
      <c r="I72" s="5" t="s">
        <v>27</v>
      </c>
      <c r="J72" s="5" t="s">
        <v>27</v>
      </c>
      <c r="K72" s="5" t="s">
        <v>27</v>
      </c>
      <c r="L72" s="5" t="s">
        <v>27</v>
      </c>
      <c r="M72" s="5" t="s">
        <v>72</v>
      </c>
      <c r="N72" s="5" t="s">
        <v>58</v>
      </c>
      <c r="O72" s="5" t="s">
        <v>46</v>
      </c>
      <c r="P72" s="3"/>
    </row>
    <row r="73" ht="15.75" customHeight="1">
      <c r="A73" s="6"/>
      <c r="B73" s="5" t="s">
        <v>27</v>
      </c>
      <c r="C73" s="5" t="s">
        <v>27</v>
      </c>
      <c r="D73" s="5" t="s">
        <v>27</v>
      </c>
      <c r="E73" s="5" t="s">
        <v>27</v>
      </c>
      <c r="F73" s="5" t="s">
        <v>27</v>
      </c>
      <c r="G73" s="5" t="s">
        <v>27</v>
      </c>
      <c r="H73" s="5" t="s">
        <v>27</v>
      </c>
      <c r="I73" s="5" t="s">
        <v>27</v>
      </c>
      <c r="J73" s="5" t="s">
        <v>27</v>
      </c>
      <c r="K73" s="5" t="s">
        <v>27</v>
      </c>
      <c r="L73" s="5" t="s">
        <v>27</v>
      </c>
      <c r="M73" s="5" t="s">
        <v>27</v>
      </c>
      <c r="N73" s="5" t="s">
        <v>25</v>
      </c>
      <c r="O73" s="5" t="s">
        <v>29</v>
      </c>
      <c r="P73" s="3"/>
    </row>
    <row r="74" ht="15.75" customHeight="1">
      <c r="A74" s="6"/>
      <c r="B74" s="5" t="s">
        <v>27</v>
      </c>
      <c r="C74" s="5" t="s">
        <v>27</v>
      </c>
      <c r="D74" s="5" t="s">
        <v>27</v>
      </c>
      <c r="E74" s="5" t="s">
        <v>27</v>
      </c>
      <c r="F74" s="5" t="s">
        <v>27</v>
      </c>
      <c r="G74" s="5" t="s">
        <v>27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5" t="s">
        <v>27</v>
      </c>
      <c r="N74" s="5" t="s">
        <v>50</v>
      </c>
      <c r="O74" s="5" t="s">
        <v>27</v>
      </c>
      <c r="P74" s="3"/>
    </row>
    <row r="75" ht="15.75" customHeight="1">
      <c r="A75" s="7"/>
      <c r="B75" s="8" t="s">
        <v>27</v>
      </c>
      <c r="C75" s="8" t="s">
        <v>27</v>
      </c>
      <c r="D75" s="8" t="s">
        <v>27</v>
      </c>
      <c r="E75" s="8" t="s">
        <v>27</v>
      </c>
      <c r="F75" s="8" t="s">
        <v>27</v>
      </c>
      <c r="G75" s="8" t="s">
        <v>27</v>
      </c>
      <c r="H75" s="8" t="s">
        <v>27</v>
      </c>
      <c r="I75" s="8" t="s">
        <v>27</v>
      </c>
      <c r="J75" s="8" t="s">
        <v>27</v>
      </c>
      <c r="K75" s="8" t="s">
        <v>27</v>
      </c>
      <c r="L75" s="8" t="s">
        <v>27</v>
      </c>
      <c r="M75" s="8" t="s">
        <v>27</v>
      </c>
      <c r="N75" s="8" t="s">
        <v>19</v>
      </c>
      <c r="O75" s="8" t="s">
        <v>27</v>
      </c>
      <c r="P75" s="3"/>
    </row>
    <row r="76" ht="15.75" customHeight="1">
      <c r="A76" s="4" t="s">
        <v>92</v>
      </c>
      <c r="B76" s="5" t="s">
        <v>27</v>
      </c>
      <c r="C76" s="5" t="s">
        <v>27</v>
      </c>
      <c r="D76" s="5" t="s">
        <v>27</v>
      </c>
      <c r="E76" s="5" t="s">
        <v>27</v>
      </c>
      <c r="F76" s="5" t="s">
        <v>27</v>
      </c>
      <c r="G76" s="5" t="s">
        <v>27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5" t="s">
        <v>27</v>
      </c>
      <c r="N76" s="5" t="s">
        <v>60</v>
      </c>
      <c r="O76" s="5" t="s">
        <v>22</v>
      </c>
      <c r="P76" s="3" t="str">
        <f>HYPERLINK("#مجمع!B" &amp; 11, "ورديات اليوم مجمعة")</f>
        <v>ورديات اليوم مجمعة</v>
      </c>
    </row>
    <row r="77" ht="15.75" customHeight="1">
      <c r="A77" s="6"/>
      <c r="B77" s="5" t="s">
        <v>27</v>
      </c>
      <c r="C77" s="5" t="s">
        <v>27</v>
      </c>
      <c r="D77" s="5" t="s">
        <v>27</v>
      </c>
      <c r="E77" s="5" t="s">
        <v>27</v>
      </c>
      <c r="F77" s="5" t="s">
        <v>27</v>
      </c>
      <c r="G77" s="5" t="s">
        <v>27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5" t="s">
        <v>27</v>
      </c>
      <c r="N77" s="5" t="s">
        <v>17</v>
      </c>
      <c r="O77" s="5" t="s">
        <v>32</v>
      </c>
      <c r="P77" s="3"/>
    </row>
    <row r="78" ht="15.75" customHeight="1">
      <c r="A78" s="6"/>
      <c r="B78" s="5" t="s">
        <v>27</v>
      </c>
      <c r="C78" s="5" t="s">
        <v>27</v>
      </c>
      <c r="D78" s="5" t="s">
        <v>27</v>
      </c>
      <c r="E78" s="5" t="s">
        <v>27</v>
      </c>
      <c r="F78" s="5" t="s">
        <v>27</v>
      </c>
      <c r="G78" s="5" t="s">
        <v>27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5" t="s">
        <v>27</v>
      </c>
      <c r="N78" s="5" t="s">
        <v>21</v>
      </c>
      <c r="O78" s="5" t="s">
        <v>49</v>
      </c>
      <c r="P78" s="3"/>
    </row>
    <row r="79" ht="15.75" customHeight="1">
      <c r="A79" s="6"/>
      <c r="B79" s="5" t="s">
        <v>27</v>
      </c>
      <c r="C79" s="5" t="s">
        <v>27</v>
      </c>
      <c r="D79" s="5" t="s">
        <v>27</v>
      </c>
      <c r="E79" s="5" t="s">
        <v>27</v>
      </c>
      <c r="F79" s="5" t="s">
        <v>27</v>
      </c>
      <c r="G79" s="5" t="s">
        <v>27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5" t="s">
        <v>27</v>
      </c>
      <c r="N79" s="5" t="s">
        <v>30</v>
      </c>
      <c r="O79" s="5" t="s">
        <v>61</v>
      </c>
      <c r="P79" s="3"/>
    </row>
    <row r="80" ht="15.75" customHeight="1">
      <c r="A80" s="6"/>
      <c r="B80" s="5" t="s">
        <v>27</v>
      </c>
      <c r="C80" s="5" t="s">
        <v>27</v>
      </c>
      <c r="D80" s="5" t="s">
        <v>27</v>
      </c>
      <c r="E80" s="5" t="s">
        <v>27</v>
      </c>
      <c r="F80" s="5" t="s">
        <v>27</v>
      </c>
      <c r="G80" s="5" t="s">
        <v>27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5" t="s">
        <v>27</v>
      </c>
      <c r="N80" s="5" t="s">
        <v>52</v>
      </c>
      <c r="O80" s="5" t="s">
        <v>27</v>
      </c>
      <c r="P80" s="3"/>
    </row>
    <row r="81" ht="15.75" customHeight="1">
      <c r="A81" s="7"/>
      <c r="B81" s="8" t="s">
        <v>27</v>
      </c>
      <c r="C81" s="8" t="s">
        <v>27</v>
      </c>
      <c r="D81" s="8" t="s">
        <v>27</v>
      </c>
      <c r="E81" s="8" t="s">
        <v>27</v>
      </c>
      <c r="F81" s="8" t="s">
        <v>27</v>
      </c>
      <c r="G81" s="8" t="s">
        <v>27</v>
      </c>
      <c r="H81" s="8" t="s">
        <v>27</v>
      </c>
      <c r="I81" s="8" t="s">
        <v>27</v>
      </c>
      <c r="J81" s="8" t="s">
        <v>27</v>
      </c>
      <c r="K81" s="8" t="s">
        <v>27</v>
      </c>
      <c r="L81" s="8" t="s">
        <v>27</v>
      </c>
      <c r="M81" s="8" t="s">
        <v>27</v>
      </c>
      <c r="N81" s="8" t="s">
        <v>85</v>
      </c>
      <c r="O81" s="8" t="s">
        <v>27</v>
      </c>
      <c r="P81" s="3"/>
    </row>
    <row r="82" ht="15.75" customHeight="1">
      <c r="A82" s="4" t="s">
        <v>93</v>
      </c>
      <c r="B82" s="5" t="s">
        <v>27</v>
      </c>
      <c r="C82" s="5" t="s">
        <v>27</v>
      </c>
      <c r="D82" s="5" t="s">
        <v>27</v>
      </c>
      <c r="E82" s="5" t="s">
        <v>27</v>
      </c>
      <c r="F82" s="5" t="s">
        <v>27</v>
      </c>
      <c r="G82" s="5" t="s">
        <v>27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5" t="s">
        <v>27</v>
      </c>
      <c r="N82" s="5" t="s">
        <v>37</v>
      </c>
      <c r="O82" s="5" t="s">
        <v>57</v>
      </c>
      <c r="P82" s="3" t="str">
        <f>HYPERLINK("#مجمع!B" &amp; 12, "ورديات اليوم مجمعة")</f>
        <v>ورديات اليوم مجمعة</v>
      </c>
    </row>
    <row r="83" ht="15.75" customHeight="1">
      <c r="A83" s="6"/>
      <c r="B83" s="5" t="s">
        <v>27</v>
      </c>
      <c r="C83" s="5" t="s">
        <v>27</v>
      </c>
      <c r="D83" s="5" t="s">
        <v>27</v>
      </c>
      <c r="E83" s="5" t="s">
        <v>27</v>
      </c>
      <c r="F83" s="5" t="s">
        <v>27</v>
      </c>
      <c r="G83" s="5" t="s">
        <v>27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5" t="s">
        <v>27</v>
      </c>
      <c r="N83" s="5" t="s">
        <v>50</v>
      </c>
      <c r="O83" s="5" t="s">
        <v>81</v>
      </c>
      <c r="P83" s="3"/>
    </row>
    <row r="84" ht="15.75" customHeight="1">
      <c r="A84" s="6"/>
      <c r="B84" s="5" t="s">
        <v>27</v>
      </c>
      <c r="C84" s="5" t="s">
        <v>27</v>
      </c>
      <c r="D84" s="5" t="s">
        <v>27</v>
      </c>
      <c r="E84" s="5" t="s">
        <v>27</v>
      </c>
      <c r="F84" s="5" t="s">
        <v>27</v>
      </c>
      <c r="G84" s="5" t="s">
        <v>27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5" t="s">
        <v>27</v>
      </c>
      <c r="N84" s="5" t="s">
        <v>34</v>
      </c>
      <c r="O84" s="5" t="s">
        <v>42</v>
      </c>
      <c r="P84" s="3"/>
    </row>
    <row r="85" ht="15.75" customHeight="1">
      <c r="A85" s="6"/>
      <c r="B85" s="5" t="s">
        <v>27</v>
      </c>
      <c r="C85" s="5" t="s">
        <v>27</v>
      </c>
      <c r="D85" s="5" t="s">
        <v>27</v>
      </c>
      <c r="E85" s="5" t="s">
        <v>27</v>
      </c>
      <c r="F85" s="5" t="s">
        <v>27</v>
      </c>
      <c r="G85" s="5" t="s">
        <v>27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5" t="s">
        <v>27</v>
      </c>
      <c r="N85" s="5" t="s">
        <v>55</v>
      </c>
      <c r="O85" s="5" t="s">
        <v>27</v>
      </c>
      <c r="P85" s="3"/>
    </row>
    <row r="86" ht="15.75" customHeight="1">
      <c r="A86" s="7"/>
      <c r="B86" s="8" t="s">
        <v>27</v>
      </c>
      <c r="C86" s="8" t="s">
        <v>27</v>
      </c>
      <c r="D86" s="8" t="s">
        <v>27</v>
      </c>
      <c r="E86" s="8" t="s">
        <v>27</v>
      </c>
      <c r="F86" s="8" t="s">
        <v>27</v>
      </c>
      <c r="G86" s="8" t="s">
        <v>27</v>
      </c>
      <c r="H86" s="8" t="s">
        <v>27</v>
      </c>
      <c r="I86" s="8" t="s">
        <v>27</v>
      </c>
      <c r="J86" s="8" t="s">
        <v>27</v>
      </c>
      <c r="K86" s="8" t="s">
        <v>27</v>
      </c>
      <c r="L86" s="8" t="s">
        <v>27</v>
      </c>
      <c r="M86" s="8" t="s">
        <v>27</v>
      </c>
      <c r="N86" s="8" t="s">
        <v>28</v>
      </c>
      <c r="O86" s="8" t="s">
        <v>27</v>
      </c>
      <c r="P86" s="3"/>
    </row>
    <row r="87" ht="15.75" customHeight="1">
      <c r="A87" s="4" t="s">
        <v>94</v>
      </c>
      <c r="B87" s="5" t="s">
        <v>27</v>
      </c>
      <c r="C87" s="5" t="s">
        <v>27</v>
      </c>
      <c r="D87" s="5" t="s">
        <v>27</v>
      </c>
      <c r="E87" s="5" t="s">
        <v>27</v>
      </c>
      <c r="F87" s="5" t="s">
        <v>27</v>
      </c>
      <c r="G87" s="5" t="s">
        <v>27</v>
      </c>
      <c r="H87" s="5" t="s">
        <v>27</v>
      </c>
      <c r="I87" s="5" t="s">
        <v>27</v>
      </c>
      <c r="J87" s="5" t="s">
        <v>27</v>
      </c>
      <c r="K87" s="5" t="s">
        <v>27</v>
      </c>
      <c r="L87" s="5" t="s">
        <v>27</v>
      </c>
      <c r="M87" s="5" t="s">
        <v>27</v>
      </c>
      <c r="N87" s="5" t="s">
        <v>51</v>
      </c>
      <c r="O87" s="5" t="s">
        <v>26</v>
      </c>
      <c r="P87" s="3" t="str">
        <f>HYPERLINK("#مجمع!B" &amp; 13, "ورديات اليوم مجمعة")</f>
        <v>ورديات اليوم مجمعة</v>
      </c>
    </row>
    <row r="88" ht="15.75" customHeight="1">
      <c r="A88" s="6"/>
      <c r="B88" s="5" t="s">
        <v>27</v>
      </c>
      <c r="C88" s="5" t="s">
        <v>27</v>
      </c>
      <c r="D88" s="5" t="s">
        <v>27</v>
      </c>
      <c r="E88" s="5" t="s">
        <v>27</v>
      </c>
      <c r="F88" s="5" t="s">
        <v>27</v>
      </c>
      <c r="G88" s="5" t="s">
        <v>27</v>
      </c>
      <c r="H88" s="5" t="s">
        <v>27</v>
      </c>
      <c r="I88" s="5" t="s">
        <v>27</v>
      </c>
      <c r="J88" s="5" t="s">
        <v>27</v>
      </c>
      <c r="K88" s="5" t="s">
        <v>27</v>
      </c>
      <c r="L88" s="5" t="s">
        <v>27</v>
      </c>
      <c r="M88" s="5" t="s">
        <v>27</v>
      </c>
      <c r="N88" s="5" t="s">
        <v>84</v>
      </c>
      <c r="O88" s="5" t="s">
        <v>86</v>
      </c>
      <c r="P88" s="3"/>
    </row>
    <row r="89" ht="15.75" customHeight="1">
      <c r="A89" s="6"/>
      <c r="B89" s="5" t="s">
        <v>27</v>
      </c>
      <c r="C89" s="5" t="s">
        <v>27</v>
      </c>
      <c r="D89" s="5" t="s">
        <v>27</v>
      </c>
      <c r="E89" s="5" t="s">
        <v>27</v>
      </c>
      <c r="F89" s="5" t="s">
        <v>27</v>
      </c>
      <c r="G89" s="5" t="s">
        <v>27</v>
      </c>
      <c r="H89" s="5" t="s">
        <v>27</v>
      </c>
      <c r="I89" s="5" t="s">
        <v>27</v>
      </c>
      <c r="J89" s="5" t="s">
        <v>27</v>
      </c>
      <c r="K89" s="5" t="s">
        <v>27</v>
      </c>
      <c r="L89" s="5" t="s">
        <v>27</v>
      </c>
      <c r="M89" s="5" t="s">
        <v>27</v>
      </c>
      <c r="N89" s="5" t="s">
        <v>66</v>
      </c>
      <c r="O89" s="5" t="s">
        <v>80</v>
      </c>
      <c r="P89" s="3"/>
    </row>
    <row r="90" ht="15.75" customHeight="1">
      <c r="A90" s="6"/>
      <c r="B90" s="5" t="s">
        <v>27</v>
      </c>
      <c r="C90" s="5" t="s">
        <v>27</v>
      </c>
      <c r="D90" s="5" t="s">
        <v>27</v>
      </c>
      <c r="E90" s="5" t="s">
        <v>27</v>
      </c>
      <c r="F90" s="5" t="s">
        <v>27</v>
      </c>
      <c r="G90" s="5" t="s">
        <v>27</v>
      </c>
      <c r="H90" s="5" t="s">
        <v>27</v>
      </c>
      <c r="I90" s="5" t="s">
        <v>27</v>
      </c>
      <c r="J90" s="5" t="s">
        <v>27</v>
      </c>
      <c r="K90" s="5" t="s">
        <v>27</v>
      </c>
      <c r="L90" s="5" t="s">
        <v>27</v>
      </c>
      <c r="M90" s="5" t="s">
        <v>27</v>
      </c>
      <c r="N90" s="5" t="s">
        <v>20</v>
      </c>
      <c r="O90" s="5" t="s">
        <v>79</v>
      </c>
      <c r="P90" s="3"/>
    </row>
    <row r="91" ht="15.75" customHeight="1">
      <c r="A91" s="7"/>
      <c r="B91" s="8" t="s">
        <v>27</v>
      </c>
      <c r="C91" s="8" t="s">
        <v>27</v>
      </c>
      <c r="D91" s="8" t="s">
        <v>27</v>
      </c>
      <c r="E91" s="8" t="s">
        <v>27</v>
      </c>
      <c r="F91" s="8" t="s">
        <v>27</v>
      </c>
      <c r="G91" s="8" t="s">
        <v>27</v>
      </c>
      <c r="H91" s="8" t="s">
        <v>27</v>
      </c>
      <c r="I91" s="8" t="s">
        <v>27</v>
      </c>
      <c r="J91" s="8" t="s">
        <v>27</v>
      </c>
      <c r="K91" s="8" t="s">
        <v>27</v>
      </c>
      <c r="L91" s="8" t="s">
        <v>27</v>
      </c>
      <c r="M91" s="8" t="s">
        <v>27</v>
      </c>
      <c r="N91" s="8" t="s">
        <v>85</v>
      </c>
      <c r="O91" s="8" t="s">
        <v>27</v>
      </c>
      <c r="P91" s="3"/>
    </row>
    <row r="92" ht="15.75" customHeight="1">
      <c r="A92" s="4" t="s">
        <v>95</v>
      </c>
      <c r="B92" s="5" t="s">
        <v>27</v>
      </c>
      <c r="C92" s="5" t="s">
        <v>27</v>
      </c>
      <c r="D92" s="5" t="s">
        <v>27</v>
      </c>
      <c r="E92" s="5" t="s">
        <v>27</v>
      </c>
      <c r="F92" s="5" t="s">
        <v>27</v>
      </c>
      <c r="G92" s="5" t="s">
        <v>27</v>
      </c>
      <c r="H92" s="5" t="s">
        <v>27</v>
      </c>
      <c r="I92" s="5" t="s">
        <v>27</v>
      </c>
      <c r="J92" s="5" t="s">
        <v>27</v>
      </c>
      <c r="K92" s="5" t="s">
        <v>27</v>
      </c>
      <c r="L92" s="5" t="s">
        <v>27</v>
      </c>
      <c r="M92" s="5" t="s">
        <v>84</v>
      </c>
      <c r="N92" s="5" t="s">
        <v>58</v>
      </c>
      <c r="O92" s="5" t="s">
        <v>33</v>
      </c>
      <c r="P92" s="3" t="str">
        <f>HYPERLINK("#مجمع!B" &amp; 14, "ورديات اليوم مجمعة")</f>
        <v>ورديات اليوم مجمعة</v>
      </c>
    </row>
    <row r="93" ht="15.75" customHeight="1">
      <c r="A93" s="6"/>
      <c r="B93" s="5" t="s">
        <v>27</v>
      </c>
      <c r="C93" s="5" t="s">
        <v>27</v>
      </c>
      <c r="D93" s="5" t="s">
        <v>27</v>
      </c>
      <c r="E93" s="5" t="s">
        <v>27</v>
      </c>
      <c r="F93" s="5" t="s">
        <v>27</v>
      </c>
      <c r="G93" s="5" t="s">
        <v>27</v>
      </c>
      <c r="H93" s="5" t="s">
        <v>27</v>
      </c>
      <c r="I93" s="5" t="s">
        <v>27</v>
      </c>
      <c r="J93" s="5" t="s">
        <v>27</v>
      </c>
      <c r="K93" s="5" t="s">
        <v>27</v>
      </c>
      <c r="L93" s="5" t="s">
        <v>27</v>
      </c>
      <c r="M93" s="5" t="s">
        <v>79</v>
      </c>
      <c r="N93" s="5" t="s">
        <v>36</v>
      </c>
      <c r="O93" s="5" t="s">
        <v>20</v>
      </c>
      <c r="P93" s="3"/>
    </row>
    <row r="94" ht="15.75" customHeight="1">
      <c r="A94" s="6"/>
      <c r="B94" s="5" t="s">
        <v>27</v>
      </c>
      <c r="C94" s="5" t="s">
        <v>27</v>
      </c>
      <c r="D94" s="5" t="s">
        <v>27</v>
      </c>
      <c r="E94" s="5" t="s">
        <v>27</v>
      </c>
      <c r="F94" s="5" t="s">
        <v>27</v>
      </c>
      <c r="G94" s="5" t="s">
        <v>27</v>
      </c>
      <c r="H94" s="5" t="s">
        <v>27</v>
      </c>
      <c r="I94" s="5" t="s">
        <v>27</v>
      </c>
      <c r="J94" s="5" t="s">
        <v>27</v>
      </c>
      <c r="K94" s="5" t="s">
        <v>27</v>
      </c>
      <c r="L94" s="5" t="s">
        <v>27</v>
      </c>
      <c r="M94" s="5" t="s">
        <v>29</v>
      </c>
      <c r="N94" s="5" t="s">
        <v>16</v>
      </c>
      <c r="O94" s="5" t="s">
        <v>57</v>
      </c>
      <c r="P94" s="3"/>
    </row>
    <row r="95" ht="15.75" customHeight="1">
      <c r="A95" s="6"/>
      <c r="B95" s="5" t="s">
        <v>27</v>
      </c>
      <c r="C95" s="5" t="s">
        <v>27</v>
      </c>
      <c r="D95" s="5" t="s">
        <v>27</v>
      </c>
      <c r="E95" s="5" t="s">
        <v>27</v>
      </c>
      <c r="F95" s="5" t="s">
        <v>27</v>
      </c>
      <c r="G95" s="5" t="s">
        <v>27</v>
      </c>
      <c r="H95" s="5" t="s">
        <v>27</v>
      </c>
      <c r="I95" s="5" t="s">
        <v>27</v>
      </c>
      <c r="J95" s="5" t="s">
        <v>27</v>
      </c>
      <c r="K95" s="5" t="s">
        <v>27</v>
      </c>
      <c r="L95" s="5" t="s">
        <v>27</v>
      </c>
      <c r="M95" s="5" t="s">
        <v>27</v>
      </c>
      <c r="N95" s="5" t="s">
        <v>45</v>
      </c>
      <c r="O95" s="5" t="s">
        <v>27</v>
      </c>
      <c r="P95" s="3"/>
    </row>
    <row r="96" ht="15.75" customHeight="1">
      <c r="A96" s="7"/>
      <c r="B96" s="8" t="s">
        <v>27</v>
      </c>
      <c r="C96" s="8" t="s">
        <v>27</v>
      </c>
      <c r="D96" s="8" t="s">
        <v>27</v>
      </c>
      <c r="E96" s="8" t="s">
        <v>27</v>
      </c>
      <c r="F96" s="8" t="s">
        <v>27</v>
      </c>
      <c r="G96" s="8" t="s">
        <v>27</v>
      </c>
      <c r="H96" s="8" t="s">
        <v>27</v>
      </c>
      <c r="I96" s="8" t="s">
        <v>27</v>
      </c>
      <c r="J96" s="8" t="s">
        <v>27</v>
      </c>
      <c r="K96" s="8" t="s">
        <v>27</v>
      </c>
      <c r="L96" s="8" t="s">
        <v>27</v>
      </c>
      <c r="M96" s="8" t="s">
        <v>27</v>
      </c>
      <c r="N96" s="8" t="s">
        <v>87</v>
      </c>
      <c r="O96" s="8" t="s">
        <v>27</v>
      </c>
      <c r="P96" s="3"/>
    </row>
    <row r="97" ht="15.75" customHeight="1">
      <c r="A97" s="4" t="s">
        <v>96</v>
      </c>
      <c r="B97" s="5" t="s">
        <v>69</v>
      </c>
      <c r="C97" s="5" t="s">
        <v>48</v>
      </c>
      <c r="D97" s="5" t="s">
        <v>18</v>
      </c>
      <c r="E97" s="5" t="s">
        <v>34</v>
      </c>
      <c r="F97" s="5" t="s">
        <v>79</v>
      </c>
      <c r="G97" s="5" t="s">
        <v>30</v>
      </c>
      <c r="H97" s="5" t="s">
        <v>53</v>
      </c>
      <c r="I97" s="5" t="s">
        <v>76</v>
      </c>
      <c r="J97" s="5" t="s">
        <v>16</v>
      </c>
      <c r="K97" s="5" t="s">
        <v>54</v>
      </c>
      <c r="L97" s="5" t="s">
        <v>26</v>
      </c>
      <c r="M97" s="5" t="s">
        <v>27</v>
      </c>
      <c r="N97" s="5" t="s">
        <v>27</v>
      </c>
      <c r="O97" s="5" t="s">
        <v>27</v>
      </c>
      <c r="P97" s="3" t="str">
        <f>HYPERLINK("#مجمع!B" &amp; 15, "ورديات اليوم مجمعة")</f>
        <v>ورديات اليوم مجمعة</v>
      </c>
    </row>
    <row r="98" ht="15.75" customHeight="1">
      <c r="A98" s="6"/>
      <c r="B98" s="5" t="s">
        <v>27</v>
      </c>
      <c r="C98" s="5" t="s">
        <v>27</v>
      </c>
      <c r="D98" s="5" t="s">
        <v>27</v>
      </c>
      <c r="E98" s="5" t="s">
        <v>56</v>
      </c>
      <c r="F98" s="5" t="s">
        <v>67</v>
      </c>
      <c r="G98" s="5" t="s">
        <v>72</v>
      </c>
      <c r="H98" s="5" t="s">
        <v>81</v>
      </c>
      <c r="I98" s="5" t="s">
        <v>27</v>
      </c>
      <c r="J98" s="5" t="s">
        <v>27</v>
      </c>
      <c r="K98" s="5" t="s">
        <v>36</v>
      </c>
      <c r="L98" s="5" t="s">
        <v>86</v>
      </c>
      <c r="M98" s="5" t="s">
        <v>27</v>
      </c>
      <c r="N98" s="5" t="s">
        <v>27</v>
      </c>
      <c r="O98" s="5" t="s">
        <v>27</v>
      </c>
      <c r="P98" s="3"/>
    </row>
    <row r="99" ht="15.75" customHeight="1">
      <c r="A99" s="6"/>
      <c r="B99" s="5" t="s">
        <v>27</v>
      </c>
      <c r="C99" s="5" t="s">
        <v>27</v>
      </c>
      <c r="D99" s="5" t="s">
        <v>27</v>
      </c>
      <c r="E99" s="5" t="s">
        <v>50</v>
      </c>
      <c r="F99" s="5" t="s">
        <v>35</v>
      </c>
      <c r="G99" s="5" t="s">
        <v>62</v>
      </c>
      <c r="H99" s="5" t="s">
        <v>37</v>
      </c>
      <c r="I99" s="5" t="s">
        <v>27</v>
      </c>
      <c r="J99" s="5" t="s">
        <v>27</v>
      </c>
      <c r="K99" s="5" t="s">
        <v>25</v>
      </c>
      <c r="L99" s="5" t="s">
        <v>33</v>
      </c>
      <c r="M99" s="5" t="s">
        <v>27</v>
      </c>
      <c r="N99" s="5" t="s">
        <v>27</v>
      </c>
      <c r="O99" s="5" t="s">
        <v>27</v>
      </c>
      <c r="P99" s="3"/>
    </row>
    <row r="100" ht="15.75" customHeight="1">
      <c r="A100" s="6"/>
      <c r="B100" s="5" t="s">
        <v>27</v>
      </c>
      <c r="C100" s="5" t="s">
        <v>27</v>
      </c>
      <c r="D100" s="5" t="s">
        <v>27</v>
      </c>
      <c r="E100" s="5" t="s">
        <v>45</v>
      </c>
      <c r="F100" s="5" t="s">
        <v>57</v>
      </c>
      <c r="G100" s="5" t="s">
        <v>52</v>
      </c>
      <c r="H100" s="5" t="s">
        <v>55</v>
      </c>
      <c r="I100" s="5" t="s">
        <v>27</v>
      </c>
      <c r="J100" s="5" t="s">
        <v>27</v>
      </c>
      <c r="K100" s="5" t="s">
        <v>44</v>
      </c>
      <c r="L100" s="5" t="s">
        <v>83</v>
      </c>
      <c r="M100" s="5" t="s">
        <v>27</v>
      </c>
      <c r="N100" s="5" t="s">
        <v>27</v>
      </c>
      <c r="O100" s="5" t="s">
        <v>27</v>
      </c>
      <c r="P100" s="3"/>
    </row>
    <row r="101" ht="15.75" customHeight="1">
      <c r="A101" s="6"/>
      <c r="B101" s="5" t="s">
        <v>27</v>
      </c>
      <c r="C101" s="5" t="s">
        <v>27</v>
      </c>
      <c r="D101" s="5" t="s">
        <v>27</v>
      </c>
      <c r="E101" s="5" t="s">
        <v>78</v>
      </c>
      <c r="F101" s="5" t="s">
        <v>46</v>
      </c>
      <c r="G101" s="5" t="s">
        <v>21</v>
      </c>
      <c r="H101" s="5" t="s">
        <v>39</v>
      </c>
      <c r="I101" s="5" t="s">
        <v>27</v>
      </c>
      <c r="J101" s="5" t="s">
        <v>27</v>
      </c>
      <c r="K101" s="5" t="s">
        <v>66</v>
      </c>
      <c r="L101" s="5" t="s">
        <v>59</v>
      </c>
      <c r="M101" s="5" t="s">
        <v>27</v>
      </c>
      <c r="N101" s="5" t="s">
        <v>27</v>
      </c>
      <c r="O101" s="5" t="s">
        <v>27</v>
      </c>
      <c r="P101" s="3"/>
    </row>
    <row r="102" ht="15.75" customHeight="1">
      <c r="A102" s="6"/>
      <c r="B102" s="5" t="s">
        <v>27</v>
      </c>
      <c r="C102" s="5" t="s">
        <v>27</v>
      </c>
      <c r="D102" s="5" t="s">
        <v>27</v>
      </c>
      <c r="E102" s="5" t="s">
        <v>84</v>
      </c>
      <c r="F102" s="5" t="s">
        <v>29</v>
      </c>
      <c r="G102" s="5" t="s">
        <v>64</v>
      </c>
      <c r="H102" s="5" t="s">
        <v>82</v>
      </c>
      <c r="I102" s="5" t="s">
        <v>27</v>
      </c>
      <c r="J102" s="5" t="s">
        <v>27</v>
      </c>
      <c r="K102" s="5" t="s">
        <v>28</v>
      </c>
      <c r="L102" s="5" t="s">
        <v>22</v>
      </c>
      <c r="M102" s="5" t="s">
        <v>27</v>
      </c>
      <c r="N102" s="5" t="s">
        <v>27</v>
      </c>
      <c r="O102" s="5" t="s">
        <v>27</v>
      </c>
      <c r="P102" s="3"/>
    </row>
    <row r="103" ht="15.75" customHeight="1">
      <c r="A103" s="6"/>
      <c r="B103" s="5" t="s">
        <v>27</v>
      </c>
      <c r="C103" s="5" t="s">
        <v>27</v>
      </c>
      <c r="D103" s="5" t="s">
        <v>27</v>
      </c>
      <c r="E103" s="5" t="s">
        <v>58</v>
      </c>
      <c r="F103" s="5" t="s">
        <v>51</v>
      </c>
      <c r="G103" s="5" t="s">
        <v>80</v>
      </c>
      <c r="H103" s="5" t="s">
        <v>70</v>
      </c>
      <c r="I103" s="5" t="s">
        <v>27</v>
      </c>
      <c r="J103" s="5" t="s">
        <v>27</v>
      </c>
      <c r="K103" s="5" t="s">
        <v>27</v>
      </c>
      <c r="L103" s="5" t="s">
        <v>27</v>
      </c>
      <c r="M103" s="5" t="s">
        <v>27</v>
      </c>
      <c r="N103" s="5" t="s">
        <v>27</v>
      </c>
      <c r="O103" s="5" t="s">
        <v>27</v>
      </c>
      <c r="P103" s="3"/>
    </row>
    <row r="104" ht="15.75" customHeight="1">
      <c r="A104" s="6"/>
      <c r="B104" s="5" t="s">
        <v>27</v>
      </c>
      <c r="C104" s="5" t="s">
        <v>27</v>
      </c>
      <c r="D104" s="5" t="s">
        <v>27</v>
      </c>
      <c r="E104" s="5" t="s">
        <v>19</v>
      </c>
      <c r="F104" s="5" t="s">
        <v>41</v>
      </c>
      <c r="G104" s="5" t="s">
        <v>60</v>
      </c>
      <c r="H104" s="5" t="s">
        <v>49</v>
      </c>
      <c r="I104" s="5" t="s">
        <v>27</v>
      </c>
      <c r="J104" s="5" t="s">
        <v>27</v>
      </c>
      <c r="K104" s="5" t="s">
        <v>27</v>
      </c>
      <c r="L104" s="5" t="s">
        <v>27</v>
      </c>
      <c r="M104" s="5" t="s">
        <v>27</v>
      </c>
      <c r="N104" s="5" t="s">
        <v>27</v>
      </c>
      <c r="O104" s="5" t="s">
        <v>27</v>
      </c>
      <c r="P104" s="3"/>
    </row>
    <row r="105" ht="15.75" customHeight="1">
      <c r="A105" s="7"/>
      <c r="B105" s="8" t="s">
        <v>27</v>
      </c>
      <c r="C105" s="8" t="s">
        <v>27</v>
      </c>
      <c r="D105" s="8" t="s">
        <v>27</v>
      </c>
      <c r="E105" s="8" t="s">
        <v>85</v>
      </c>
      <c r="F105" s="8" t="s">
        <v>27</v>
      </c>
      <c r="G105" s="8" t="s">
        <v>27</v>
      </c>
      <c r="H105" s="8" t="s">
        <v>87</v>
      </c>
      <c r="I105" s="8" t="s">
        <v>27</v>
      </c>
      <c r="J105" s="8" t="s">
        <v>27</v>
      </c>
      <c r="K105" s="8" t="s">
        <v>27</v>
      </c>
      <c r="L105" s="8" t="s">
        <v>27</v>
      </c>
      <c r="M105" s="8" t="s">
        <v>27</v>
      </c>
      <c r="N105" s="8" t="s">
        <v>27</v>
      </c>
      <c r="O105" s="8" t="s">
        <v>27</v>
      </c>
      <c r="P105" s="3"/>
    </row>
    <row r="106" ht="15.75" customHeight="1">
      <c r="A106" s="4" t="s">
        <v>97</v>
      </c>
      <c r="B106" s="5" t="s">
        <v>27</v>
      </c>
      <c r="C106" s="5" t="s">
        <v>27</v>
      </c>
      <c r="D106" s="5" t="s">
        <v>27</v>
      </c>
      <c r="E106" s="5" t="s">
        <v>27</v>
      </c>
      <c r="F106" s="5" t="s">
        <v>27</v>
      </c>
      <c r="G106" s="5" t="s">
        <v>27</v>
      </c>
      <c r="H106" s="5" t="s">
        <v>27</v>
      </c>
      <c r="I106" s="5" t="s">
        <v>27</v>
      </c>
      <c r="J106" s="5" t="s">
        <v>27</v>
      </c>
      <c r="K106" s="5" t="s">
        <v>27</v>
      </c>
      <c r="L106" s="5" t="s">
        <v>27</v>
      </c>
      <c r="M106" s="5" t="s">
        <v>27</v>
      </c>
      <c r="N106" s="5" t="s">
        <v>72</v>
      </c>
      <c r="O106" s="5" t="s">
        <v>79</v>
      </c>
      <c r="P106" s="3" t="str">
        <f>HYPERLINK("#مجمع!B" &amp; 16, "ورديات اليوم مجمعة")</f>
        <v>ورديات اليوم مجمعة</v>
      </c>
    </row>
    <row r="107" ht="15.75" customHeight="1">
      <c r="A107" s="6"/>
      <c r="B107" s="5" t="s">
        <v>27</v>
      </c>
      <c r="C107" s="5" t="s">
        <v>27</v>
      </c>
      <c r="D107" s="5" t="s">
        <v>27</v>
      </c>
      <c r="E107" s="5" t="s">
        <v>27</v>
      </c>
      <c r="F107" s="5" t="s">
        <v>27</v>
      </c>
      <c r="G107" s="5" t="s">
        <v>27</v>
      </c>
      <c r="H107" s="5" t="s">
        <v>27</v>
      </c>
      <c r="I107" s="5" t="s">
        <v>27</v>
      </c>
      <c r="J107" s="5" t="s">
        <v>27</v>
      </c>
      <c r="K107" s="5" t="s">
        <v>27</v>
      </c>
      <c r="L107" s="5" t="s">
        <v>27</v>
      </c>
      <c r="M107" s="5" t="s">
        <v>27</v>
      </c>
      <c r="N107" s="5" t="s">
        <v>36</v>
      </c>
      <c r="O107" s="5" t="s">
        <v>64</v>
      </c>
      <c r="P107" s="3"/>
    </row>
    <row r="108" ht="15.75" customHeight="1">
      <c r="A108" s="6"/>
      <c r="B108" s="5" t="s">
        <v>27</v>
      </c>
      <c r="C108" s="5" t="s">
        <v>27</v>
      </c>
      <c r="D108" s="5" t="s">
        <v>27</v>
      </c>
      <c r="E108" s="5" t="s">
        <v>27</v>
      </c>
      <c r="F108" s="5" t="s">
        <v>27</v>
      </c>
      <c r="G108" s="5" t="s">
        <v>27</v>
      </c>
      <c r="H108" s="5" t="s">
        <v>27</v>
      </c>
      <c r="I108" s="5" t="s">
        <v>27</v>
      </c>
      <c r="J108" s="5" t="s">
        <v>27</v>
      </c>
      <c r="K108" s="5" t="s">
        <v>27</v>
      </c>
      <c r="L108" s="5" t="s">
        <v>27</v>
      </c>
      <c r="M108" s="5" t="s">
        <v>27</v>
      </c>
      <c r="N108" s="5" t="s">
        <v>34</v>
      </c>
      <c r="O108" s="5" t="s">
        <v>69</v>
      </c>
      <c r="P108" s="3"/>
    </row>
    <row r="109" ht="15.75" customHeight="1">
      <c r="A109" s="6"/>
      <c r="B109" s="5" t="s">
        <v>27</v>
      </c>
      <c r="C109" s="5" t="s">
        <v>27</v>
      </c>
      <c r="D109" s="5" t="s">
        <v>27</v>
      </c>
      <c r="E109" s="5" t="s">
        <v>27</v>
      </c>
      <c r="F109" s="5" t="s">
        <v>27</v>
      </c>
      <c r="G109" s="5" t="s">
        <v>27</v>
      </c>
      <c r="H109" s="5" t="s">
        <v>27</v>
      </c>
      <c r="I109" s="5" t="s">
        <v>27</v>
      </c>
      <c r="J109" s="5" t="s">
        <v>27</v>
      </c>
      <c r="K109" s="5" t="s">
        <v>27</v>
      </c>
      <c r="L109" s="5" t="s">
        <v>27</v>
      </c>
      <c r="M109" s="5" t="s">
        <v>27</v>
      </c>
      <c r="N109" s="5" t="s">
        <v>45</v>
      </c>
      <c r="O109" s="5" t="s">
        <v>51</v>
      </c>
      <c r="P109" s="3"/>
    </row>
    <row r="110" ht="15.75" customHeight="1">
      <c r="A110" s="6"/>
      <c r="B110" s="5" t="s">
        <v>27</v>
      </c>
      <c r="C110" s="5" t="s">
        <v>27</v>
      </c>
      <c r="D110" s="5" t="s">
        <v>27</v>
      </c>
      <c r="E110" s="5" t="s">
        <v>27</v>
      </c>
      <c r="F110" s="5" t="s">
        <v>27</v>
      </c>
      <c r="G110" s="5" t="s">
        <v>27</v>
      </c>
      <c r="H110" s="5" t="s">
        <v>27</v>
      </c>
      <c r="I110" s="5" t="s">
        <v>27</v>
      </c>
      <c r="J110" s="5" t="s">
        <v>27</v>
      </c>
      <c r="K110" s="5" t="s">
        <v>27</v>
      </c>
      <c r="L110" s="5" t="s">
        <v>27</v>
      </c>
      <c r="M110" s="5" t="s">
        <v>27</v>
      </c>
      <c r="N110" s="5" t="s">
        <v>28</v>
      </c>
      <c r="O110" s="5" t="s">
        <v>67</v>
      </c>
      <c r="P110" s="3"/>
    </row>
    <row r="111" ht="15.75" customHeight="1">
      <c r="A111" s="6"/>
      <c r="B111" s="5" t="s">
        <v>27</v>
      </c>
      <c r="C111" s="5" t="s">
        <v>27</v>
      </c>
      <c r="D111" s="5" t="s">
        <v>27</v>
      </c>
      <c r="E111" s="5" t="s">
        <v>27</v>
      </c>
      <c r="F111" s="5" t="s">
        <v>27</v>
      </c>
      <c r="G111" s="5" t="s">
        <v>27</v>
      </c>
      <c r="H111" s="5" t="s">
        <v>27</v>
      </c>
      <c r="I111" s="5" t="s">
        <v>27</v>
      </c>
      <c r="J111" s="5" t="s">
        <v>27</v>
      </c>
      <c r="K111" s="5" t="s">
        <v>27</v>
      </c>
      <c r="L111" s="5" t="s">
        <v>27</v>
      </c>
      <c r="M111" s="5" t="s">
        <v>27</v>
      </c>
      <c r="N111" s="5" t="s">
        <v>65</v>
      </c>
      <c r="O111" s="5" t="s">
        <v>27</v>
      </c>
      <c r="P111" s="3"/>
    </row>
    <row r="112" ht="15.75" customHeight="1">
      <c r="A112" s="6"/>
      <c r="B112" s="5" t="s">
        <v>27</v>
      </c>
      <c r="C112" s="5" t="s">
        <v>27</v>
      </c>
      <c r="D112" s="5" t="s">
        <v>27</v>
      </c>
      <c r="E112" s="5" t="s">
        <v>27</v>
      </c>
      <c r="F112" s="5" t="s">
        <v>27</v>
      </c>
      <c r="G112" s="5" t="s">
        <v>27</v>
      </c>
      <c r="H112" s="5" t="s">
        <v>27</v>
      </c>
      <c r="I112" s="5" t="s">
        <v>27</v>
      </c>
      <c r="J112" s="5" t="s">
        <v>27</v>
      </c>
      <c r="K112" s="5" t="s">
        <v>27</v>
      </c>
      <c r="L112" s="5" t="s">
        <v>27</v>
      </c>
      <c r="M112" s="5" t="s">
        <v>27</v>
      </c>
      <c r="N112" s="5" t="s">
        <v>56</v>
      </c>
      <c r="O112" s="5" t="s">
        <v>27</v>
      </c>
      <c r="P112" s="3"/>
    </row>
    <row r="113" ht="15.75" customHeight="1">
      <c r="A113" s="7"/>
      <c r="B113" s="8" t="s">
        <v>27</v>
      </c>
      <c r="C113" s="8" t="s">
        <v>27</v>
      </c>
      <c r="D113" s="8" t="s">
        <v>27</v>
      </c>
      <c r="E113" s="8" t="s">
        <v>27</v>
      </c>
      <c r="F113" s="8" t="s">
        <v>27</v>
      </c>
      <c r="G113" s="8" t="s">
        <v>27</v>
      </c>
      <c r="H113" s="8" t="s">
        <v>27</v>
      </c>
      <c r="I113" s="8" t="s">
        <v>27</v>
      </c>
      <c r="J113" s="8" t="s">
        <v>27</v>
      </c>
      <c r="K113" s="8" t="s">
        <v>27</v>
      </c>
      <c r="L113" s="8" t="s">
        <v>27</v>
      </c>
      <c r="M113" s="8" t="s">
        <v>27</v>
      </c>
      <c r="N113" s="8" t="s">
        <v>30</v>
      </c>
      <c r="O113" s="8" t="s">
        <v>27</v>
      </c>
      <c r="P113" s="3"/>
    </row>
    <row r="114" ht="15.75" customHeight="1">
      <c r="A114" s="4" t="s">
        <v>98</v>
      </c>
      <c r="B114" s="5" t="s">
        <v>27</v>
      </c>
      <c r="C114" s="5" t="s">
        <v>27</v>
      </c>
      <c r="D114" s="5" t="s">
        <v>27</v>
      </c>
      <c r="E114" s="5" t="s">
        <v>27</v>
      </c>
      <c r="F114" s="5" t="s">
        <v>27</v>
      </c>
      <c r="G114" s="5" t="s">
        <v>27</v>
      </c>
      <c r="H114" s="5" t="s">
        <v>27</v>
      </c>
      <c r="I114" s="5" t="s">
        <v>27</v>
      </c>
      <c r="J114" s="5" t="s">
        <v>27</v>
      </c>
      <c r="K114" s="5" t="s">
        <v>27</v>
      </c>
      <c r="L114" s="5" t="s">
        <v>27</v>
      </c>
      <c r="M114" s="5" t="s">
        <v>50</v>
      </c>
      <c r="N114" s="5" t="s">
        <v>66</v>
      </c>
      <c r="O114" s="5" t="s">
        <v>53</v>
      </c>
      <c r="P114" s="3" t="str">
        <f>HYPERLINK("#مجمع!B" &amp; 17, "ورديات اليوم مجمعة")</f>
        <v>ورديات اليوم مجمعة</v>
      </c>
    </row>
    <row r="115" ht="15.75" customHeight="1">
      <c r="A115" s="6"/>
      <c r="B115" s="5" t="s">
        <v>27</v>
      </c>
      <c r="C115" s="5" t="s">
        <v>27</v>
      </c>
      <c r="D115" s="5" t="s">
        <v>27</v>
      </c>
      <c r="E115" s="5" t="s">
        <v>27</v>
      </c>
      <c r="F115" s="5" t="s">
        <v>27</v>
      </c>
      <c r="G115" s="5" t="s">
        <v>27</v>
      </c>
      <c r="H115" s="5" t="s">
        <v>27</v>
      </c>
      <c r="I115" s="5" t="s">
        <v>27</v>
      </c>
      <c r="J115" s="5" t="s">
        <v>27</v>
      </c>
      <c r="K115" s="5" t="s">
        <v>27</v>
      </c>
      <c r="L115" s="5" t="s">
        <v>27</v>
      </c>
      <c r="M115" s="5" t="s">
        <v>52</v>
      </c>
      <c r="N115" s="5" t="s">
        <v>25</v>
      </c>
      <c r="O115" s="5" t="s">
        <v>29</v>
      </c>
      <c r="P115" s="3"/>
    </row>
    <row r="116" ht="15.75" customHeight="1">
      <c r="A116" s="6"/>
      <c r="B116" s="5" t="s">
        <v>27</v>
      </c>
      <c r="C116" s="5" t="s">
        <v>27</v>
      </c>
      <c r="D116" s="5" t="s">
        <v>27</v>
      </c>
      <c r="E116" s="5" t="s">
        <v>27</v>
      </c>
      <c r="F116" s="5" t="s">
        <v>27</v>
      </c>
      <c r="G116" s="5" t="s">
        <v>27</v>
      </c>
      <c r="H116" s="5" t="s">
        <v>27</v>
      </c>
      <c r="I116" s="5" t="s">
        <v>27</v>
      </c>
      <c r="J116" s="5" t="s">
        <v>27</v>
      </c>
      <c r="K116" s="5" t="s">
        <v>27</v>
      </c>
      <c r="L116" s="5" t="s">
        <v>27</v>
      </c>
      <c r="M116" s="5" t="s">
        <v>18</v>
      </c>
      <c r="N116" s="5" t="s">
        <v>48</v>
      </c>
      <c r="O116" s="5" t="s">
        <v>59</v>
      </c>
      <c r="P116" s="3"/>
    </row>
    <row r="117" ht="15.75" customHeight="1">
      <c r="A117" s="6"/>
      <c r="B117" s="5" t="s">
        <v>27</v>
      </c>
      <c r="C117" s="5" t="s">
        <v>27</v>
      </c>
      <c r="D117" s="5" t="s">
        <v>27</v>
      </c>
      <c r="E117" s="5" t="s">
        <v>27</v>
      </c>
      <c r="F117" s="5" t="s">
        <v>27</v>
      </c>
      <c r="G117" s="5" t="s">
        <v>27</v>
      </c>
      <c r="H117" s="5" t="s">
        <v>27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19</v>
      </c>
      <c r="O117" s="5" t="s">
        <v>46</v>
      </c>
      <c r="P117" s="3"/>
    </row>
    <row r="118" ht="15.75" customHeight="1">
      <c r="A118" s="6"/>
      <c r="B118" s="5" t="s">
        <v>27</v>
      </c>
      <c r="C118" s="5" t="s">
        <v>27</v>
      </c>
      <c r="D118" s="5" t="s">
        <v>27</v>
      </c>
      <c r="E118" s="5" t="s">
        <v>27</v>
      </c>
      <c r="F118" s="5" t="s">
        <v>27</v>
      </c>
      <c r="G118" s="5" t="s">
        <v>27</v>
      </c>
      <c r="H118" s="5" t="s">
        <v>27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78</v>
      </c>
      <c r="O118" s="5" t="s">
        <v>27</v>
      </c>
      <c r="P118" s="3"/>
    </row>
    <row r="119" ht="15.75" customHeight="1">
      <c r="A119" s="7"/>
      <c r="B119" s="8" t="s">
        <v>27</v>
      </c>
      <c r="C119" s="8" t="s">
        <v>27</v>
      </c>
      <c r="D119" s="8" t="s">
        <v>27</v>
      </c>
      <c r="E119" s="8" t="s">
        <v>27</v>
      </c>
      <c r="F119" s="8" t="s">
        <v>27</v>
      </c>
      <c r="G119" s="8" t="s">
        <v>27</v>
      </c>
      <c r="H119" s="8" t="s">
        <v>27</v>
      </c>
      <c r="I119" s="8" t="s">
        <v>27</v>
      </c>
      <c r="J119" s="8" t="s">
        <v>27</v>
      </c>
      <c r="K119" s="8" t="s">
        <v>27</v>
      </c>
      <c r="L119" s="8" t="s">
        <v>27</v>
      </c>
      <c r="M119" s="8" t="s">
        <v>27</v>
      </c>
      <c r="N119" s="8" t="s">
        <v>62</v>
      </c>
      <c r="O119" s="8" t="s">
        <v>27</v>
      </c>
      <c r="P119" s="3"/>
    </row>
    <row r="120" ht="15.75" customHeight="1">
      <c r="A120" s="4" t="s">
        <v>99</v>
      </c>
      <c r="B120" s="5" t="s">
        <v>27</v>
      </c>
      <c r="C120" s="5" t="s">
        <v>27</v>
      </c>
      <c r="D120" s="5" t="s">
        <v>27</v>
      </c>
      <c r="E120" s="5" t="s">
        <v>27</v>
      </c>
      <c r="F120" s="5" t="s">
        <v>27</v>
      </c>
      <c r="G120" s="5" t="s">
        <v>27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16</v>
      </c>
      <c r="O120" s="5" t="s">
        <v>22</v>
      </c>
      <c r="P120" s="3" t="str">
        <f>HYPERLINK("#مجمع!B" &amp; 18, "ورديات اليوم مجمعة")</f>
        <v>ورديات اليوم مجمعة</v>
      </c>
    </row>
    <row r="121" ht="15.75" customHeight="1">
      <c r="A121" s="6"/>
      <c r="B121" s="5" t="s">
        <v>27</v>
      </c>
      <c r="C121" s="5" t="s">
        <v>27</v>
      </c>
      <c r="D121" s="5" t="s">
        <v>27</v>
      </c>
      <c r="E121" s="5" t="s">
        <v>27</v>
      </c>
      <c r="F121" s="5" t="s">
        <v>27</v>
      </c>
      <c r="G121" s="5" t="s">
        <v>27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21</v>
      </c>
      <c r="O121" s="5" t="s">
        <v>46</v>
      </c>
      <c r="P121" s="3"/>
    </row>
    <row r="122" ht="15.75" customHeight="1">
      <c r="A122" s="6"/>
      <c r="B122" s="5" t="s">
        <v>27</v>
      </c>
      <c r="C122" s="5" t="s">
        <v>27</v>
      </c>
      <c r="D122" s="5" t="s">
        <v>27</v>
      </c>
      <c r="E122" s="5" t="s">
        <v>27</v>
      </c>
      <c r="F122" s="5" t="s">
        <v>27</v>
      </c>
      <c r="G122" s="5" t="s">
        <v>27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44</v>
      </c>
      <c r="O122" s="5" t="s">
        <v>40</v>
      </c>
      <c r="P122" s="3"/>
    </row>
    <row r="123" ht="15.75" customHeight="1">
      <c r="A123" s="6"/>
      <c r="B123" s="5" t="s">
        <v>27</v>
      </c>
      <c r="C123" s="5" t="s">
        <v>27</v>
      </c>
      <c r="D123" s="5" t="s">
        <v>27</v>
      </c>
      <c r="E123" s="5" t="s">
        <v>27</v>
      </c>
      <c r="F123" s="5" t="s">
        <v>27</v>
      </c>
      <c r="G123" s="5" t="s">
        <v>27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42</v>
      </c>
      <c r="O123" s="5" t="s">
        <v>38</v>
      </c>
      <c r="P123" s="3"/>
    </row>
    <row r="124" ht="15.75" customHeight="1">
      <c r="A124" s="6"/>
      <c r="B124" s="5" t="s">
        <v>27</v>
      </c>
      <c r="C124" s="5" t="s">
        <v>27</v>
      </c>
      <c r="D124" s="5" t="s">
        <v>27</v>
      </c>
      <c r="E124" s="5" t="s">
        <v>27</v>
      </c>
      <c r="F124" s="5" t="s">
        <v>27</v>
      </c>
      <c r="G124" s="5" t="s">
        <v>27</v>
      </c>
      <c r="H124" s="5" t="s">
        <v>27</v>
      </c>
      <c r="I124" s="5" t="s">
        <v>27</v>
      </c>
      <c r="J124" s="5" t="s">
        <v>27</v>
      </c>
      <c r="K124" s="5" t="s">
        <v>27</v>
      </c>
      <c r="L124" s="5" t="s">
        <v>27</v>
      </c>
      <c r="M124" s="5" t="s">
        <v>27</v>
      </c>
      <c r="N124" s="5" t="s">
        <v>17</v>
      </c>
      <c r="O124" s="5" t="s">
        <v>27</v>
      </c>
      <c r="P124" s="3"/>
    </row>
    <row r="125" ht="15.75" customHeight="1">
      <c r="A125" s="7"/>
      <c r="B125" s="8" t="s">
        <v>27</v>
      </c>
      <c r="C125" s="8" t="s">
        <v>27</v>
      </c>
      <c r="D125" s="8" t="s">
        <v>27</v>
      </c>
      <c r="E125" s="8" t="s">
        <v>27</v>
      </c>
      <c r="F125" s="8" t="s">
        <v>27</v>
      </c>
      <c r="G125" s="8" t="s">
        <v>27</v>
      </c>
      <c r="H125" s="8" t="s">
        <v>27</v>
      </c>
      <c r="I125" s="8" t="s">
        <v>27</v>
      </c>
      <c r="J125" s="8" t="s">
        <v>27</v>
      </c>
      <c r="K125" s="8" t="s">
        <v>27</v>
      </c>
      <c r="L125" s="8" t="s">
        <v>27</v>
      </c>
      <c r="M125" s="8" t="s">
        <v>27</v>
      </c>
      <c r="N125" s="8" t="s">
        <v>52</v>
      </c>
      <c r="O125" s="8" t="s">
        <v>27</v>
      </c>
      <c r="P125" s="3"/>
    </row>
    <row r="126" ht="15.75" customHeight="1">
      <c r="A126" s="4" t="s">
        <v>100</v>
      </c>
      <c r="B126" s="5" t="s">
        <v>27</v>
      </c>
      <c r="C126" s="5" t="s">
        <v>27</v>
      </c>
      <c r="D126" s="5" t="s">
        <v>27</v>
      </c>
      <c r="E126" s="5" t="s">
        <v>27</v>
      </c>
      <c r="F126" s="5" t="s">
        <v>27</v>
      </c>
      <c r="G126" s="5" t="s">
        <v>27</v>
      </c>
      <c r="H126" s="5" t="s">
        <v>27</v>
      </c>
      <c r="I126" s="5" t="s">
        <v>27</v>
      </c>
      <c r="J126" s="5" t="s">
        <v>27</v>
      </c>
      <c r="K126" s="5" t="s">
        <v>27</v>
      </c>
      <c r="L126" s="5" t="s">
        <v>27</v>
      </c>
      <c r="M126" s="5" t="s">
        <v>27</v>
      </c>
      <c r="N126" s="5" t="s">
        <v>61</v>
      </c>
      <c r="O126" s="5" t="s">
        <v>81</v>
      </c>
      <c r="P126" s="3" t="str">
        <f>HYPERLINK("#مجمع!B" &amp; 19, "ورديات اليوم مجمعة")</f>
        <v>ورديات اليوم مجمعة</v>
      </c>
    </row>
    <row r="127" ht="15.75" customHeight="1">
      <c r="A127" s="6"/>
      <c r="B127" s="5" t="s">
        <v>27</v>
      </c>
      <c r="C127" s="5" t="s">
        <v>27</v>
      </c>
      <c r="D127" s="5" t="s">
        <v>27</v>
      </c>
      <c r="E127" s="5" t="s">
        <v>27</v>
      </c>
      <c r="F127" s="5" t="s">
        <v>27</v>
      </c>
      <c r="G127" s="5" t="s">
        <v>27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5" t="s">
        <v>27</v>
      </c>
      <c r="N127" s="5" t="s">
        <v>23</v>
      </c>
      <c r="O127" s="5" t="s">
        <v>39</v>
      </c>
      <c r="P127" s="3"/>
    </row>
    <row r="128" ht="15.75" customHeight="1">
      <c r="A128" s="6"/>
      <c r="B128" s="5" t="s">
        <v>27</v>
      </c>
      <c r="C128" s="5" t="s">
        <v>27</v>
      </c>
      <c r="D128" s="5" t="s">
        <v>27</v>
      </c>
      <c r="E128" s="5" t="s">
        <v>27</v>
      </c>
      <c r="F128" s="5" t="s">
        <v>27</v>
      </c>
      <c r="G128" s="5" t="s">
        <v>27</v>
      </c>
      <c r="H128" s="5" t="s">
        <v>27</v>
      </c>
      <c r="I128" s="5" t="s">
        <v>27</v>
      </c>
      <c r="J128" s="5" t="s">
        <v>27</v>
      </c>
      <c r="K128" s="5" t="s">
        <v>27</v>
      </c>
      <c r="L128" s="5" t="s">
        <v>27</v>
      </c>
      <c r="M128" s="5" t="s">
        <v>27</v>
      </c>
      <c r="N128" s="5" t="s">
        <v>78</v>
      </c>
      <c r="O128" s="5" t="s">
        <v>77</v>
      </c>
      <c r="P128" s="3"/>
    </row>
    <row r="129" ht="15.75" customHeight="1">
      <c r="A129" s="6"/>
      <c r="B129" s="5" t="s">
        <v>27</v>
      </c>
      <c r="C129" s="5" t="s">
        <v>27</v>
      </c>
      <c r="D129" s="5" t="s">
        <v>27</v>
      </c>
      <c r="E129" s="5" t="s">
        <v>27</v>
      </c>
      <c r="F129" s="5" t="s">
        <v>27</v>
      </c>
      <c r="G129" s="5" t="s">
        <v>27</v>
      </c>
      <c r="H129" s="5" t="s">
        <v>27</v>
      </c>
      <c r="I129" s="5" t="s">
        <v>27</v>
      </c>
      <c r="J129" s="5" t="s">
        <v>27</v>
      </c>
      <c r="K129" s="5" t="s">
        <v>27</v>
      </c>
      <c r="L129" s="5" t="s">
        <v>27</v>
      </c>
      <c r="M129" s="5" t="s">
        <v>27</v>
      </c>
      <c r="N129" s="5" t="s">
        <v>55</v>
      </c>
      <c r="O129" s="5" t="s">
        <v>27</v>
      </c>
      <c r="P129" s="3"/>
    </row>
    <row r="130" ht="15.75" customHeight="1">
      <c r="A130" s="7"/>
      <c r="B130" s="8" t="s">
        <v>27</v>
      </c>
      <c r="C130" s="8" t="s">
        <v>27</v>
      </c>
      <c r="D130" s="8" t="s">
        <v>27</v>
      </c>
      <c r="E130" s="8" t="s">
        <v>27</v>
      </c>
      <c r="F130" s="8" t="s">
        <v>27</v>
      </c>
      <c r="G130" s="8" t="s">
        <v>27</v>
      </c>
      <c r="H130" s="8" t="s">
        <v>27</v>
      </c>
      <c r="I130" s="8" t="s">
        <v>27</v>
      </c>
      <c r="J130" s="8" t="s">
        <v>27</v>
      </c>
      <c r="K130" s="8" t="s">
        <v>27</v>
      </c>
      <c r="L130" s="8" t="s">
        <v>27</v>
      </c>
      <c r="M130" s="8" t="s">
        <v>27</v>
      </c>
      <c r="N130" s="8" t="s">
        <v>47</v>
      </c>
      <c r="O130" s="8" t="s">
        <v>27</v>
      </c>
      <c r="P130" s="3"/>
    </row>
    <row r="131" ht="15.75" customHeight="1">
      <c r="A131" s="4" t="s">
        <v>101</v>
      </c>
      <c r="B131" s="5" t="s">
        <v>27</v>
      </c>
      <c r="C131" s="5" t="s">
        <v>27</v>
      </c>
      <c r="D131" s="5" t="s">
        <v>27</v>
      </c>
      <c r="E131" s="5" t="s">
        <v>27</v>
      </c>
      <c r="F131" s="5" t="s">
        <v>27</v>
      </c>
      <c r="G131" s="5" t="s">
        <v>27</v>
      </c>
      <c r="H131" s="5" t="s">
        <v>27</v>
      </c>
      <c r="I131" s="5" t="s">
        <v>27</v>
      </c>
      <c r="J131" s="5" t="s">
        <v>27</v>
      </c>
      <c r="K131" s="5" t="s">
        <v>27</v>
      </c>
      <c r="L131" s="5" t="s">
        <v>27</v>
      </c>
      <c r="M131" s="5" t="s">
        <v>27</v>
      </c>
      <c r="N131" s="5" t="s">
        <v>54</v>
      </c>
      <c r="O131" s="5" t="s">
        <v>86</v>
      </c>
      <c r="P131" s="3" t="str">
        <f>HYPERLINK("#مجمع!B" &amp; 20, "ورديات اليوم مجمعة")</f>
        <v>ورديات اليوم مجمعة</v>
      </c>
    </row>
    <row r="132" ht="15.75" customHeight="1">
      <c r="A132" s="6"/>
      <c r="B132" s="5" t="s">
        <v>27</v>
      </c>
      <c r="C132" s="5" t="s">
        <v>27</v>
      </c>
      <c r="D132" s="5" t="s">
        <v>27</v>
      </c>
      <c r="E132" s="5" t="s">
        <v>27</v>
      </c>
      <c r="F132" s="5" t="s">
        <v>27</v>
      </c>
      <c r="G132" s="5" t="s">
        <v>27</v>
      </c>
      <c r="H132" s="5" t="s">
        <v>27</v>
      </c>
      <c r="I132" s="5" t="s">
        <v>27</v>
      </c>
      <c r="J132" s="5" t="s">
        <v>27</v>
      </c>
      <c r="K132" s="5" t="s">
        <v>27</v>
      </c>
      <c r="L132" s="5" t="s">
        <v>27</v>
      </c>
      <c r="M132" s="5" t="s">
        <v>27</v>
      </c>
      <c r="N132" s="5" t="s">
        <v>35</v>
      </c>
      <c r="O132" s="5" t="s">
        <v>43</v>
      </c>
      <c r="P132" s="3"/>
    </row>
    <row r="133" ht="15.75" customHeight="1">
      <c r="A133" s="6"/>
      <c r="B133" s="5" t="s">
        <v>27</v>
      </c>
      <c r="C133" s="5" t="s">
        <v>27</v>
      </c>
      <c r="D133" s="5" t="s">
        <v>27</v>
      </c>
      <c r="E133" s="5" t="s">
        <v>27</v>
      </c>
      <c r="F133" s="5" t="s">
        <v>27</v>
      </c>
      <c r="G133" s="5" t="s">
        <v>27</v>
      </c>
      <c r="H133" s="5" t="s">
        <v>27</v>
      </c>
      <c r="I133" s="5" t="s">
        <v>27</v>
      </c>
      <c r="J133" s="5" t="s">
        <v>27</v>
      </c>
      <c r="K133" s="5" t="s">
        <v>27</v>
      </c>
      <c r="L133" s="5" t="s">
        <v>27</v>
      </c>
      <c r="M133" s="5" t="s">
        <v>27</v>
      </c>
      <c r="N133" s="5" t="s">
        <v>57</v>
      </c>
      <c r="O133" s="5" t="s">
        <v>67</v>
      </c>
      <c r="P133" s="3"/>
    </row>
    <row r="134" ht="15.75" customHeight="1">
      <c r="A134" s="6"/>
      <c r="B134" s="5" t="s">
        <v>27</v>
      </c>
      <c r="C134" s="5" t="s">
        <v>27</v>
      </c>
      <c r="D134" s="5" t="s">
        <v>27</v>
      </c>
      <c r="E134" s="5" t="s">
        <v>27</v>
      </c>
      <c r="F134" s="5" t="s">
        <v>27</v>
      </c>
      <c r="G134" s="5" t="s">
        <v>27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5" t="s">
        <v>27</v>
      </c>
      <c r="N134" s="5" t="s">
        <v>20</v>
      </c>
      <c r="O134" s="5" t="s">
        <v>82</v>
      </c>
      <c r="P134" s="3"/>
    </row>
    <row r="135" ht="15.75" customHeight="1">
      <c r="A135" s="7"/>
      <c r="B135" s="8" t="s">
        <v>27</v>
      </c>
      <c r="C135" s="8" t="s">
        <v>27</v>
      </c>
      <c r="D135" s="8" t="s">
        <v>27</v>
      </c>
      <c r="E135" s="8" t="s">
        <v>27</v>
      </c>
      <c r="F135" s="8" t="s">
        <v>27</v>
      </c>
      <c r="G135" s="8" t="s">
        <v>27</v>
      </c>
      <c r="H135" s="8" t="s">
        <v>27</v>
      </c>
      <c r="I135" s="8" t="s">
        <v>27</v>
      </c>
      <c r="J135" s="8" t="s">
        <v>27</v>
      </c>
      <c r="K135" s="8" t="s">
        <v>27</v>
      </c>
      <c r="L135" s="8" t="s">
        <v>27</v>
      </c>
      <c r="M135" s="8" t="s">
        <v>27</v>
      </c>
      <c r="N135" s="8" t="s">
        <v>87</v>
      </c>
      <c r="O135" s="8" t="s">
        <v>27</v>
      </c>
      <c r="P135" s="3"/>
    </row>
    <row r="136" ht="15.75" customHeight="1">
      <c r="A136" s="4" t="s">
        <v>102</v>
      </c>
      <c r="B136" s="5" t="s">
        <v>27</v>
      </c>
      <c r="C136" s="5" t="s">
        <v>27</v>
      </c>
      <c r="D136" s="5" t="s">
        <v>27</v>
      </c>
      <c r="E136" s="5" t="s">
        <v>27</v>
      </c>
      <c r="F136" s="5" t="s">
        <v>27</v>
      </c>
      <c r="G136" s="5" t="s">
        <v>27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44</v>
      </c>
      <c r="N136" s="5" t="s">
        <v>78</v>
      </c>
      <c r="O136" s="5" t="s">
        <v>80</v>
      </c>
      <c r="P136" s="3" t="str">
        <f>HYPERLINK("#مجمع!B" &amp; 21, "ورديات اليوم مجمعة")</f>
        <v>ورديات اليوم مجمعة</v>
      </c>
    </row>
    <row r="137" ht="15.75" customHeight="1">
      <c r="A137" s="6"/>
      <c r="B137" s="5" t="s">
        <v>27</v>
      </c>
      <c r="C137" s="5" t="s">
        <v>27</v>
      </c>
      <c r="D137" s="5" t="s">
        <v>27</v>
      </c>
      <c r="E137" s="5" t="s">
        <v>27</v>
      </c>
      <c r="F137" s="5" t="s">
        <v>27</v>
      </c>
      <c r="G137" s="5" t="s">
        <v>27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24</v>
      </c>
      <c r="N137" s="5" t="s">
        <v>55</v>
      </c>
      <c r="O137" s="5" t="s">
        <v>59</v>
      </c>
      <c r="P137" s="3"/>
    </row>
    <row r="138" ht="15.75" customHeight="1">
      <c r="A138" s="6"/>
      <c r="B138" s="5" t="s">
        <v>27</v>
      </c>
      <c r="C138" s="5" t="s">
        <v>27</v>
      </c>
      <c r="D138" s="5" t="s">
        <v>27</v>
      </c>
      <c r="E138" s="5" t="s">
        <v>27</v>
      </c>
      <c r="F138" s="5" t="s">
        <v>27</v>
      </c>
      <c r="G138" s="5" t="s">
        <v>27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5" t="s">
        <v>69</v>
      </c>
      <c r="N138" s="5" t="s">
        <v>64</v>
      </c>
      <c r="O138" s="5" t="s">
        <v>35</v>
      </c>
      <c r="P138" s="3"/>
    </row>
    <row r="139" ht="15.75" customHeight="1">
      <c r="A139" s="6"/>
      <c r="B139" s="5" t="s">
        <v>27</v>
      </c>
      <c r="C139" s="5" t="s">
        <v>27</v>
      </c>
      <c r="D139" s="5" t="s">
        <v>27</v>
      </c>
      <c r="E139" s="5" t="s">
        <v>27</v>
      </c>
      <c r="F139" s="5" t="s">
        <v>27</v>
      </c>
      <c r="G139" s="5" t="s">
        <v>27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41</v>
      </c>
      <c r="O139" s="5" t="s">
        <v>27</v>
      </c>
      <c r="P139" s="3"/>
    </row>
    <row r="140" ht="15.75" customHeight="1">
      <c r="A140" s="7"/>
      <c r="B140" s="8" t="s">
        <v>27</v>
      </c>
      <c r="C140" s="8" t="s">
        <v>27</v>
      </c>
      <c r="D140" s="8" t="s">
        <v>27</v>
      </c>
      <c r="E140" s="8" t="s">
        <v>27</v>
      </c>
      <c r="F140" s="8" t="s">
        <v>27</v>
      </c>
      <c r="G140" s="8" t="s">
        <v>27</v>
      </c>
      <c r="H140" s="8" t="s">
        <v>27</v>
      </c>
      <c r="I140" s="8" t="s">
        <v>27</v>
      </c>
      <c r="J140" s="8" t="s">
        <v>27</v>
      </c>
      <c r="K140" s="8" t="s">
        <v>27</v>
      </c>
      <c r="L140" s="8" t="s">
        <v>27</v>
      </c>
      <c r="M140" s="8" t="s">
        <v>27</v>
      </c>
      <c r="N140" s="8" t="s">
        <v>87</v>
      </c>
      <c r="O140" s="8" t="s">
        <v>27</v>
      </c>
      <c r="P140" s="3"/>
    </row>
    <row r="141" ht="15.75" customHeight="1">
      <c r="A141" s="4" t="s">
        <v>103</v>
      </c>
      <c r="B141" s="5" t="s">
        <v>48</v>
      </c>
      <c r="C141" s="5" t="s">
        <v>65</v>
      </c>
      <c r="D141" s="5" t="s">
        <v>18</v>
      </c>
      <c r="E141" s="5" t="s">
        <v>34</v>
      </c>
      <c r="F141" s="5" t="s">
        <v>84</v>
      </c>
      <c r="G141" s="5" t="s">
        <v>80</v>
      </c>
      <c r="H141" s="5" t="s">
        <v>41</v>
      </c>
      <c r="I141" s="5" t="s">
        <v>23</v>
      </c>
      <c r="J141" s="5" t="s">
        <v>72</v>
      </c>
      <c r="K141" s="5" t="s">
        <v>44</v>
      </c>
      <c r="L141" s="5" t="s">
        <v>82</v>
      </c>
      <c r="M141" s="5" t="s">
        <v>27</v>
      </c>
      <c r="N141" s="5" t="s">
        <v>27</v>
      </c>
      <c r="O141" s="5" t="s">
        <v>27</v>
      </c>
      <c r="P141" s="3" t="str">
        <f>HYPERLINK("#مجمع!B" &amp; 22, "ورديات اليوم مجمعة")</f>
        <v>ورديات اليوم مجمعة</v>
      </c>
    </row>
    <row r="142" ht="15.75" customHeight="1">
      <c r="A142" s="6"/>
      <c r="B142" s="5" t="s">
        <v>27</v>
      </c>
      <c r="C142" s="5" t="s">
        <v>27</v>
      </c>
      <c r="D142" s="5" t="s">
        <v>27</v>
      </c>
      <c r="E142" s="5" t="s">
        <v>56</v>
      </c>
      <c r="F142" s="5" t="s">
        <v>79</v>
      </c>
      <c r="G142" s="5" t="s">
        <v>69</v>
      </c>
      <c r="H142" s="5" t="s">
        <v>64</v>
      </c>
      <c r="I142" s="5" t="s">
        <v>27</v>
      </c>
      <c r="J142" s="5" t="s">
        <v>27</v>
      </c>
      <c r="K142" s="5" t="s">
        <v>19</v>
      </c>
      <c r="L142" s="5" t="s">
        <v>22</v>
      </c>
      <c r="M142" s="5" t="s">
        <v>27</v>
      </c>
      <c r="N142" s="5" t="s">
        <v>27</v>
      </c>
      <c r="O142" s="5" t="s">
        <v>27</v>
      </c>
      <c r="P142" s="3"/>
    </row>
    <row r="143" ht="15.75" customHeight="1">
      <c r="A143" s="6"/>
      <c r="B143" s="5" t="s">
        <v>27</v>
      </c>
      <c r="C143" s="5" t="s">
        <v>27</v>
      </c>
      <c r="D143" s="5" t="s">
        <v>27</v>
      </c>
      <c r="E143" s="5" t="s">
        <v>32</v>
      </c>
      <c r="F143" s="5" t="s">
        <v>67</v>
      </c>
      <c r="G143" s="5" t="s">
        <v>24</v>
      </c>
      <c r="H143" s="5" t="s">
        <v>30</v>
      </c>
      <c r="I143" s="5" t="s">
        <v>27</v>
      </c>
      <c r="J143" s="5" t="s">
        <v>27</v>
      </c>
      <c r="K143" s="5" t="s">
        <v>66</v>
      </c>
      <c r="L143" s="5" t="s">
        <v>59</v>
      </c>
      <c r="M143" s="5" t="s">
        <v>27</v>
      </c>
      <c r="N143" s="5" t="s">
        <v>27</v>
      </c>
      <c r="O143" s="5" t="s">
        <v>27</v>
      </c>
      <c r="P143" s="3"/>
    </row>
    <row r="144" ht="15.75" customHeight="1">
      <c r="A144" s="6"/>
      <c r="B144" s="5" t="s">
        <v>27</v>
      </c>
      <c r="C144" s="5" t="s">
        <v>27</v>
      </c>
      <c r="D144" s="5" t="s">
        <v>27</v>
      </c>
      <c r="E144" s="5" t="s">
        <v>40</v>
      </c>
      <c r="F144" s="5" t="s">
        <v>35</v>
      </c>
      <c r="G144" s="5" t="s">
        <v>21</v>
      </c>
      <c r="H144" s="5" t="s">
        <v>49</v>
      </c>
      <c r="I144" s="5" t="s">
        <v>27</v>
      </c>
      <c r="J144" s="5" t="s">
        <v>27</v>
      </c>
      <c r="K144" s="5" t="s">
        <v>25</v>
      </c>
      <c r="L144" s="5" t="s">
        <v>81</v>
      </c>
      <c r="M144" s="5" t="s">
        <v>27</v>
      </c>
      <c r="N144" s="5" t="s">
        <v>27</v>
      </c>
      <c r="O144" s="5" t="s">
        <v>27</v>
      </c>
      <c r="P144" s="3"/>
    </row>
    <row r="145" ht="15.75" customHeight="1">
      <c r="A145" s="6"/>
      <c r="B145" s="5" t="s">
        <v>27</v>
      </c>
      <c r="C145" s="5" t="s">
        <v>27</v>
      </c>
      <c r="D145" s="5" t="s">
        <v>27</v>
      </c>
      <c r="E145" s="5" t="s">
        <v>52</v>
      </c>
      <c r="F145" s="5" t="s">
        <v>62</v>
      </c>
      <c r="G145" s="5" t="s">
        <v>37</v>
      </c>
      <c r="H145" s="5" t="s">
        <v>60</v>
      </c>
      <c r="I145" s="5" t="s">
        <v>27</v>
      </c>
      <c r="J145" s="5" t="s">
        <v>27</v>
      </c>
      <c r="K145" s="5" t="s">
        <v>38</v>
      </c>
      <c r="L145" s="5" t="s">
        <v>23</v>
      </c>
      <c r="M145" s="5" t="s">
        <v>27</v>
      </c>
      <c r="N145" s="5" t="s">
        <v>27</v>
      </c>
      <c r="O145" s="5" t="s">
        <v>27</v>
      </c>
      <c r="P145" s="3"/>
    </row>
    <row r="146" ht="15.75" customHeight="1">
      <c r="A146" s="6"/>
      <c r="B146" s="5" t="s">
        <v>27</v>
      </c>
      <c r="C146" s="5" t="s">
        <v>27</v>
      </c>
      <c r="D146" s="5" t="s">
        <v>27</v>
      </c>
      <c r="E146" s="5" t="s">
        <v>78</v>
      </c>
      <c r="F146" s="5" t="s">
        <v>46</v>
      </c>
      <c r="G146" s="5" t="s">
        <v>50</v>
      </c>
      <c r="H146" s="5" t="s">
        <v>70</v>
      </c>
      <c r="I146" s="5" t="s">
        <v>27</v>
      </c>
      <c r="J146" s="5" t="s">
        <v>27</v>
      </c>
      <c r="K146" s="5" t="s">
        <v>31</v>
      </c>
      <c r="L146" s="5" t="s">
        <v>87</v>
      </c>
      <c r="M146" s="5" t="s">
        <v>27</v>
      </c>
      <c r="N146" s="5" t="s">
        <v>27</v>
      </c>
      <c r="O146" s="5" t="s">
        <v>27</v>
      </c>
      <c r="P146" s="3"/>
    </row>
    <row r="147" ht="15.75" customHeight="1">
      <c r="A147" s="6"/>
      <c r="B147" s="5" t="s">
        <v>27</v>
      </c>
      <c r="C147" s="5" t="s">
        <v>27</v>
      </c>
      <c r="D147" s="5" t="s">
        <v>27</v>
      </c>
      <c r="E147" s="5" t="s">
        <v>77</v>
      </c>
      <c r="F147" s="5" t="s">
        <v>29</v>
      </c>
      <c r="G147" s="5" t="s">
        <v>61</v>
      </c>
      <c r="H147" s="5" t="s">
        <v>47</v>
      </c>
      <c r="I147" s="5" t="s">
        <v>27</v>
      </c>
      <c r="J147" s="5" t="s">
        <v>27</v>
      </c>
      <c r="K147" s="5" t="s">
        <v>27</v>
      </c>
      <c r="L147" s="5" t="s">
        <v>27</v>
      </c>
      <c r="M147" s="5" t="s">
        <v>27</v>
      </c>
      <c r="N147" s="5" t="s">
        <v>27</v>
      </c>
      <c r="O147" s="5" t="s">
        <v>27</v>
      </c>
      <c r="P147" s="3"/>
    </row>
    <row r="148" ht="15.75" customHeight="1">
      <c r="A148" s="6"/>
      <c r="B148" s="5" t="s">
        <v>27</v>
      </c>
      <c r="C148" s="5" t="s">
        <v>27</v>
      </c>
      <c r="D148" s="5" t="s">
        <v>27</v>
      </c>
      <c r="E148" s="5" t="s">
        <v>17</v>
      </c>
      <c r="F148" s="5" t="s">
        <v>63</v>
      </c>
      <c r="G148" s="5" t="s">
        <v>42</v>
      </c>
      <c r="H148" s="5" t="s">
        <v>77</v>
      </c>
      <c r="I148" s="5" t="s">
        <v>27</v>
      </c>
      <c r="J148" s="5" t="s">
        <v>27</v>
      </c>
      <c r="K148" s="5" t="s">
        <v>27</v>
      </c>
      <c r="L148" s="5" t="s">
        <v>27</v>
      </c>
      <c r="M148" s="5" t="s">
        <v>27</v>
      </c>
      <c r="N148" s="5" t="s">
        <v>27</v>
      </c>
      <c r="O148" s="5" t="s">
        <v>27</v>
      </c>
      <c r="P148" s="3"/>
    </row>
    <row r="149" ht="15.75" customHeight="1">
      <c r="A149" s="7"/>
      <c r="B149" s="8" t="s">
        <v>27</v>
      </c>
      <c r="C149" s="8" t="s">
        <v>27</v>
      </c>
      <c r="D149" s="8" t="s">
        <v>27</v>
      </c>
      <c r="E149" s="8" t="s">
        <v>76</v>
      </c>
      <c r="F149" s="8" t="s">
        <v>27</v>
      </c>
      <c r="G149" s="8" t="s">
        <v>27</v>
      </c>
      <c r="H149" s="8" t="s">
        <v>85</v>
      </c>
      <c r="I149" s="8" t="s">
        <v>27</v>
      </c>
      <c r="J149" s="8" t="s">
        <v>27</v>
      </c>
      <c r="K149" s="8" t="s">
        <v>27</v>
      </c>
      <c r="L149" s="8" t="s">
        <v>27</v>
      </c>
      <c r="M149" s="8" t="s">
        <v>27</v>
      </c>
      <c r="N149" s="8" t="s">
        <v>27</v>
      </c>
      <c r="O149" s="8" t="s">
        <v>27</v>
      </c>
      <c r="P149" s="3"/>
    </row>
    <row r="150" ht="15.75" customHeight="1">
      <c r="A150" s="4" t="s">
        <v>104</v>
      </c>
      <c r="B150" s="5" t="s">
        <v>27</v>
      </c>
      <c r="C150" s="5" t="s">
        <v>27</v>
      </c>
      <c r="D150" s="5" t="s">
        <v>27</v>
      </c>
      <c r="E150" s="5" t="s">
        <v>27</v>
      </c>
      <c r="F150" s="5" t="s">
        <v>27</v>
      </c>
      <c r="G150" s="5" t="s">
        <v>27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5" t="s">
        <v>27</v>
      </c>
      <c r="N150" s="5" t="s">
        <v>78</v>
      </c>
      <c r="O150" s="5" t="s">
        <v>49</v>
      </c>
      <c r="P150" s="3" t="str">
        <f>HYPERLINK("#مجمع!B" &amp; 23, "ورديات اليوم مجمعة")</f>
        <v>ورديات اليوم مجمعة</v>
      </c>
    </row>
    <row r="151" ht="15.75" customHeight="1">
      <c r="A151" s="6"/>
      <c r="B151" s="5" t="s">
        <v>27</v>
      </c>
      <c r="C151" s="5" t="s">
        <v>27</v>
      </c>
      <c r="D151" s="5" t="s">
        <v>27</v>
      </c>
      <c r="E151" s="5" t="s">
        <v>27</v>
      </c>
      <c r="F151" s="5" t="s">
        <v>27</v>
      </c>
      <c r="G151" s="5" t="s">
        <v>27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5" t="s">
        <v>27</v>
      </c>
      <c r="N151" s="5" t="s">
        <v>76</v>
      </c>
      <c r="O151" s="5" t="s">
        <v>38</v>
      </c>
      <c r="P151" s="3"/>
    </row>
    <row r="152" ht="15.75" customHeight="1">
      <c r="A152" s="6"/>
      <c r="B152" s="5" t="s">
        <v>27</v>
      </c>
      <c r="C152" s="5" t="s">
        <v>27</v>
      </c>
      <c r="D152" s="5" t="s">
        <v>27</v>
      </c>
      <c r="E152" s="5" t="s">
        <v>27</v>
      </c>
      <c r="F152" s="5" t="s">
        <v>27</v>
      </c>
      <c r="G152" s="5" t="s">
        <v>27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5" t="s">
        <v>27</v>
      </c>
      <c r="N152" s="5" t="s">
        <v>30</v>
      </c>
      <c r="O152" s="5" t="s">
        <v>60</v>
      </c>
      <c r="P152" s="3"/>
    </row>
    <row r="153" ht="15.75" customHeight="1">
      <c r="A153" s="6"/>
      <c r="B153" s="5" t="s">
        <v>27</v>
      </c>
      <c r="C153" s="5" t="s">
        <v>27</v>
      </c>
      <c r="D153" s="5" t="s">
        <v>27</v>
      </c>
      <c r="E153" s="5" t="s">
        <v>27</v>
      </c>
      <c r="F153" s="5" t="s">
        <v>27</v>
      </c>
      <c r="G153" s="5" t="s">
        <v>27</v>
      </c>
      <c r="H153" s="5" t="s">
        <v>27</v>
      </c>
      <c r="I153" s="5" t="s">
        <v>27</v>
      </c>
      <c r="J153" s="5" t="s">
        <v>27</v>
      </c>
      <c r="K153" s="5" t="s">
        <v>27</v>
      </c>
      <c r="L153" s="5" t="s">
        <v>27</v>
      </c>
      <c r="M153" s="5" t="s">
        <v>27</v>
      </c>
      <c r="N153" s="5" t="s">
        <v>65</v>
      </c>
      <c r="O153" s="5" t="s">
        <v>84</v>
      </c>
      <c r="P153" s="3"/>
    </row>
    <row r="154" ht="15.75" customHeight="1">
      <c r="A154" s="6"/>
      <c r="B154" s="5" t="s">
        <v>27</v>
      </c>
      <c r="C154" s="5" t="s">
        <v>27</v>
      </c>
      <c r="D154" s="5" t="s">
        <v>27</v>
      </c>
      <c r="E154" s="5" t="s">
        <v>27</v>
      </c>
      <c r="F154" s="5" t="s">
        <v>27</v>
      </c>
      <c r="G154" s="5" t="s">
        <v>27</v>
      </c>
      <c r="H154" s="5" t="s">
        <v>27</v>
      </c>
      <c r="I154" s="5" t="s">
        <v>27</v>
      </c>
      <c r="J154" s="5" t="s">
        <v>27</v>
      </c>
      <c r="K154" s="5" t="s">
        <v>27</v>
      </c>
      <c r="L154" s="5" t="s">
        <v>27</v>
      </c>
      <c r="M154" s="5" t="s">
        <v>27</v>
      </c>
      <c r="N154" s="5" t="s">
        <v>56</v>
      </c>
      <c r="O154" s="5" t="s">
        <v>83</v>
      </c>
      <c r="P154" s="3"/>
    </row>
    <row r="155" ht="15.75" customHeight="1">
      <c r="A155" s="6"/>
      <c r="B155" s="5" t="s">
        <v>27</v>
      </c>
      <c r="C155" s="5" t="s">
        <v>27</v>
      </c>
      <c r="D155" s="5" t="s">
        <v>27</v>
      </c>
      <c r="E155" s="5" t="s">
        <v>27</v>
      </c>
      <c r="F155" s="5" t="s">
        <v>27</v>
      </c>
      <c r="G155" s="5" t="s">
        <v>27</v>
      </c>
      <c r="H155" s="5" t="s">
        <v>27</v>
      </c>
      <c r="I155" s="5" t="s">
        <v>27</v>
      </c>
      <c r="J155" s="5" t="s">
        <v>27</v>
      </c>
      <c r="K155" s="5" t="s">
        <v>27</v>
      </c>
      <c r="L155" s="5" t="s">
        <v>27</v>
      </c>
      <c r="M155" s="5" t="s">
        <v>27</v>
      </c>
      <c r="N155" s="5" t="s">
        <v>31</v>
      </c>
      <c r="O155" s="5" t="s">
        <v>27</v>
      </c>
      <c r="P155" s="3"/>
    </row>
    <row r="156" ht="15.75" customHeight="1">
      <c r="A156" s="6"/>
      <c r="B156" s="5" t="s">
        <v>27</v>
      </c>
      <c r="C156" s="5" t="s">
        <v>27</v>
      </c>
      <c r="D156" s="5" t="s">
        <v>27</v>
      </c>
      <c r="E156" s="5" t="s">
        <v>27</v>
      </c>
      <c r="F156" s="5" t="s">
        <v>27</v>
      </c>
      <c r="G156" s="5" t="s">
        <v>27</v>
      </c>
      <c r="H156" s="5" t="s">
        <v>27</v>
      </c>
      <c r="I156" s="5" t="s">
        <v>27</v>
      </c>
      <c r="J156" s="5" t="s">
        <v>27</v>
      </c>
      <c r="K156" s="5" t="s">
        <v>27</v>
      </c>
      <c r="L156" s="5" t="s">
        <v>27</v>
      </c>
      <c r="M156" s="5" t="s">
        <v>27</v>
      </c>
      <c r="N156" s="5" t="s">
        <v>70</v>
      </c>
      <c r="O156" s="5" t="s">
        <v>27</v>
      </c>
      <c r="P156" s="3"/>
    </row>
    <row r="157" ht="15.75" customHeight="1">
      <c r="A157" s="7"/>
      <c r="B157" s="8" t="s">
        <v>27</v>
      </c>
      <c r="C157" s="8" t="s">
        <v>27</v>
      </c>
      <c r="D157" s="8" t="s">
        <v>27</v>
      </c>
      <c r="E157" s="8" t="s">
        <v>27</v>
      </c>
      <c r="F157" s="8" t="s">
        <v>27</v>
      </c>
      <c r="G157" s="8" t="s">
        <v>27</v>
      </c>
      <c r="H157" s="8" t="s">
        <v>27</v>
      </c>
      <c r="I157" s="8" t="s">
        <v>27</v>
      </c>
      <c r="J157" s="8" t="s">
        <v>27</v>
      </c>
      <c r="K157" s="8" t="s">
        <v>27</v>
      </c>
      <c r="L157" s="8" t="s">
        <v>27</v>
      </c>
      <c r="M157" s="8" t="s">
        <v>27</v>
      </c>
      <c r="N157" s="5" t="s">
        <v>70</v>
      </c>
      <c r="O157" s="8" t="s">
        <v>27</v>
      </c>
      <c r="P157" s="3"/>
    </row>
    <row r="158" ht="15.75" customHeight="1">
      <c r="A158" s="4" t="s">
        <v>105</v>
      </c>
      <c r="B158" s="5" t="s">
        <v>27</v>
      </c>
      <c r="C158" s="5" t="s">
        <v>27</v>
      </c>
      <c r="D158" s="5" t="s">
        <v>27</v>
      </c>
      <c r="E158" s="5" t="s">
        <v>27</v>
      </c>
      <c r="F158" s="5" t="s">
        <v>27</v>
      </c>
      <c r="G158" s="5" t="s">
        <v>27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5" t="s">
        <v>42</v>
      </c>
      <c r="N158" s="5" t="s">
        <v>23</v>
      </c>
      <c r="O158" s="5" t="s">
        <v>46</v>
      </c>
      <c r="P158" s="3" t="str">
        <f>HYPERLINK("#مجمع!B" &amp; 24, "ورديات اليوم مجمعة")</f>
        <v>ورديات اليوم مجمعة</v>
      </c>
    </row>
    <row r="159" ht="15.75" customHeight="1">
      <c r="A159" s="6"/>
      <c r="B159" s="5" t="s">
        <v>27</v>
      </c>
      <c r="C159" s="5" t="s">
        <v>27</v>
      </c>
      <c r="D159" s="5" t="s">
        <v>27</v>
      </c>
      <c r="E159" s="5" t="s">
        <v>27</v>
      </c>
      <c r="F159" s="5" t="s">
        <v>27</v>
      </c>
      <c r="G159" s="5" t="s">
        <v>27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21</v>
      </c>
      <c r="N159" s="5" t="s">
        <v>18</v>
      </c>
      <c r="O159" s="5" t="s">
        <v>77</v>
      </c>
      <c r="P159" s="3"/>
    </row>
    <row r="160" ht="15.75" customHeight="1">
      <c r="A160" s="6"/>
      <c r="B160" s="5" t="s">
        <v>27</v>
      </c>
      <c r="C160" s="5" t="s">
        <v>27</v>
      </c>
      <c r="D160" s="5" t="s">
        <v>27</v>
      </c>
      <c r="E160" s="5" t="s">
        <v>27</v>
      </c>
      <c r="F160" s="5" t="s">
        <v>27</v>
      </c>
      <c r="G160" s="5" t="s">
        <v>27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5" t="s">
        <v>40</v>
      </c>
      <c r="N160" s="5" t="s">
        <v>25</v>
      </c>
      <c r="O160" s="5" t="s">
        <v>40</v>
      </c>
      <c r="P160" s="3"/>
    </row>
    <row r="161" ht="15.75" customHeight="1">
      <c r="A161" s="6"/>
      <c r="B161" s="5" t="s">
        <v>27</v>
      </c>
      <c r="C161" s="5" t="s">
        <v>27</v>
      </c>
      <c r="D161" s="5" t="s">
        <v>27</v>
      </c>
      <c r="E161" s="5" t="s">
        <v>27</v>
      </c>
      <c r="F161" s="5" t="s">
        <v>27</v>
      </c>
      <c r="G161" s="5" t="s">
        <v>27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19</v>
      </c>
      <c r="O161" s="5" t="s">
        <v>63</v>
      </c>
      <c r="P161" s="3"/>
    </row>
    <row r="162" ht="15.75" customHeight="1">
      <c r="A162" s="6"/>
      <c r="B162" s="5" t="s">
        <v>27</v>
      </c>
      <c r="C162" s="5" t="s">
        <v>27</v>
      </c>
      <c r="D162" s="5" t="s">
        <v>27</v>
      </c>
      <c r="E162" s="5" t="s">
        <v>27</v>
      </c>
      <c r="F162" s="5" t="s">
        <v>27</v>
      </c>
      <c r="G162" s="5" t="s">
        <v>27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48</v>
      </c>
      <c r="O162" s="5" t="s">
        <v>27</v>
      </c>
      <c r="P162" s="3"/>
    </row>
    <row r="163" ht="15.75" customHeight="1">
      <c r="A163" s="7"/>
      <c r="B163" s="8" t="s">
        <v>27</v>
      </c>
      <c r="C163" s="8" t="s">
        <v>27</v>
      </c>
      <c r="D163" s="8" t="s">
        <v>27</v>
      </c>
      <c r="E163" s="8" t="s">
        <v>27</v>
      </c>
      <c r="F163" s="8" t="s">
        <v>27</v>
      </c>
      <c r="G163" s="8" t="s">
        <v>27</v>
      </c>
      <c r="H163" s="8" t="s">
        <v>27</v>
      </c>
      <c r="I163" s="8" t="s">
        <v>27</v>
      </c>
      <c r="J163" s="8" t="s">
        <v>27</v>
      </c>
      <c r="K163" s="8" t="s">
        <v>27</v>
      </c>
      <c r="L163" s="8" t="s">
        <v>27</v>
      </c>
      <c r="M163" s="8" t="s">
        <v>27</v>
      </c>
      <c r="N163" s="8" t="s">
        <v>62</v>
      </c>
      <c r="O163" s="8" t="s">
        <v>27</v>
      </c>
      <c r="P163" s="3"/>
    </row>
    <row r="164" ht="15.75" customHeight="1">
      <c r="A164" s="4" t="s">
        <v>106</v>
      </c>
      <c r="B164" s="5" t="s">
        <v>27</v>
      </c>
      <c r="C164" s="5" t="s">
        <v>27</v>
      </c>
      <c r="D164" s="5" t="s">
        <v>27</v>
      </c>
      <c r="E164" s="5" t="s">
        <v>27</v>
      </c>
      <c r="F164" s="5" t="s">
        <v>27</v>
      </c>
      <c r="G164" s="5" t="s">
        <v>27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48</v>
      </c>
      <c r="O164" s="5" t="s">
        <v>38</v>
      </c>
      <c r="P164" s="3" t="str">
        <f>HYPERLINK("#مجمع!B" &amp; 25, "ورديات اليوم مجمعة")</f>
        <v>ورديات اليوم مجمعة</v>
      </c>
    </row>
    <row r="165" ht="15.75" customHeight="1">
      <c r="A165" s="6"/>
      <c r="B165" s="5" t="s">
        <v>27</v>
      </c>
      <c r="C165" s="5" t="s">
        <v>27</v>
      </c>
      <c r="D165" s="5" t="s">
        <v>27</v>
      </c>
      <c r="E165" s="5" t="s">
        <v>27</v>
      </c>
      <c r="F165" s="5" t="s">
        <v>27</v>
      </c>
      <c r="G165" s="5" t="s">
        <v>27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5" t="s">
        <v>27</v>
      </c>
      <c r="N165" s="5" t="s">
        <v>23</v>
      </c>
      <c r="O165" s="5" t="s">
        <v>60</v>
      </c>
      <c r="P165" s="3"/>
    </row>
    <row r="166" ht="15.75" customHeight="1">
      <c r="A166" s="6"/>
      <c r="B166" s="5" t="s">
        <v>27</v>
      </c>
      <c r="C166" s="5" t="s">
        <v>27</v>
      </c>
      <c r="D166" s="5" t="s">
        <v>27</v>
      </c>
      <c r="E166" s="5" t="s">
        <v>27</v>
      </c>
      <c r="F166" s="5" t="s">
        <v>27</v>
      </c>
      <c r="G166" s="5" t="s">
        <v>27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44</v>
      </c>
      <c r="O166" s="5" t="s">
        <v>83</v>
      </c>
      <c r="P166" s="3"/>
    </row>
    <row r="167" ht="15.75" customHeight="1">
      <c r="A167" s="6"/>
      <c r="B167" s="5" t="s">
        <v>27</v>
      </c>
      <c r="C167" s="5" t="s">
        <v>27</v>
      </c>
      <c r="D167" s="5" t="s">
        <v>27</v>
      </c>
      <c r="E167" s="5" t="s">
        <v>27</v>
      </c>
      <c r="F167" s="5" t="s">
        <v>27</v>
      </c>
      <c r="G167" s="5" t="s">
        <v>27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66</v>
      </c>
      <c r="O167" s="5" t="s">
        <v>24</v>
      </c>
      <c r="P167" s="3"/>
    </row>
    <row r="168" ht="15.75" customHeight="1">
      <c r="A168" s="6"/>
      <c r="B168" s="5" t="s">
        <v>27</v>
      </c>
      <c r="C168" s="5" t="s">
        <v>27</v>
      </c>
      <c r="D168" s="5" t="s">
        <v>27</v>
      </c>
      <c r="E168" s="5" t="s">
        <v>27</v>
      </c>
      <c r="F168" s="5" t="s">
        <v>27</v>
      </c>
      <c r="G168" s="5" t="s">
        <v>27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16</v>
      </c>
      <c r="O168" s="5" t="s">
        <v>27</v>
      </c>
      <c r="P168" s="3"/>
    </row>
    <row r="169" ht="15.75" customHeight="1">
      <c r="A169" s="7"/>
      <c r="B169" s="8" t="s">
        <v>27</v>
      </c>
      <c r="C169" s="8" t="s">
        <v>27</v>
      </c>
      <c r="D169" s="8" t="s">
        <v>27</v>
      </c>
      <c r="E169" s="8" t="s">
        <v>27</v>
      </c>
      <c r="F169" s="8" t="s">
        <v>27</v>
      </c>
      <c r="G169" s="8" t="s">
        <v>27</v>
      </c>
      <c r="H169" s="8" t="s">
        <v>27</v>
      </c>
      <c r="I169" s="8" t="s">
        <v>27</v>
      </c>
      <c r="J169" s="8" t="s">
        <v>27</v>
      </c>
      <c r="K169" s="8" t="s">
        <v>27</v>
      </c>
      <c r="L169" s="8" t="s">
        <v>27</v>
      </c>
      <c r="M169" s="8" t="s">
        <v>27</v>
      </c>
      <c r="N169" s="8" t="s">
        <v>37</v>
      </c>
      <c r="O169" s="8" t="s">
        <v>27</v>
      </c>
      <c r="P169" s="3"/>
    </row>
    <row r="170" ht="15.75" customHeight="1">
      <c r="A170" s="4" t="s">
        <v>107</v>
      </c>
      <c r="B170" s="5" t="s">
        <v>27</v>
      </c>
      <c r="C170" s="5" t="s">
        <v>27</v>
      </c>
      <c r="D170" s="5" t="s">
        <v>27</v>
      </c>
      <c r="E170" s="5" t="s">
        <v>27</v>
      </c>
      <c r="F170" s="5" t="s">
        <v>27</v>
      </c>
      <c r="G170" s="5" t="s">
        <v>27</v>
      </c>
      <c r="H170" s="5" t="s">
        <v>27</v>
      </c>
      <c r="I170" s="5" t="s">
        <v>27</v>
      </c>
      <c r="J170" s="5" t="s">
        <v>27</v>
      </c>
      <c r="K170" s="5" t="s">
        <v>27</v>
      </c>
      <c r="L170" s="5" t="s">
        <v>27</v>
      </c>
      <c r="M170" s="5" t="s">
        <v>27</v>
      </c>
      <c r="N170" s="5" t="s">
        <v>53</v>
      </c>
      <c r="O170" s="5" t="s">
        <v>77</v>
      </c>
      <c r="P170" s="3" t="str">
        <f>HYPERLINK("#مجمع!B" &amp; 26, "ورديات اليوم مجمعة")</f>
        <v>ورديات اليوم مجمعة</v>
      </c>
    </row>
    <row r="171" ht="15.75" customHeight="1">
      <c r="A171" s="6"/>
      <c r="B171" s="5" t="s">
        <v>27</v>
      </c>
      <c r="C171" s="5" t="s">
        <v>27</v>
      </c>
      <c r="D171" s="5" t="s">
        <v>27</v>
      </c>
      <c r="E171" s="5" t="s">
        <v>27</v>
      </c>
      <c r="F171" s="5" t="s">
        <v>27</v>
      </c>
      <c r="G171" s="5" t="s">
        <v>27</v>
      </c>
      <c r="H171" s="5" t="s">
        <v>27</v>
      </c>
      <c r="I171" s="5" t="s">
        <v>27</v>
      </c>
      <c r="J171" s="5" t="s">
        <v>27</v>
      </c>
      <c r="K171" s="5" t="s">
        <v>27</v>
      </c>
      <c r="L171" s="5" t="s">
        <v>27</v>
      </c>
      <c r="M171" s="5" t="s">
        <v>27</v>
      </c>
      <c r="N171" s="5" t="s">
        <v>80</v>
      </c>
      <c r="O171" s="5" t="s">
        <v>39</v>
      </c>
      <c r="P171" s="3"/>
    </row>
    <row r="172" ht="15.75" customHeight="1">
      <c r="A172" s="6"/>
      <c r="B172" s="5" t="s">
        <v>27</v>
      </c>
      <c r="C172" s="5" t="s">
        <v>27</v>
      </c>
      <c r="D172" s="5" t="s">
        <v>27</v>
      </c>
      <c r="E172" s="5" t="s">
        <v>27</v>
      </c>
      <c r="F172" s="5" t="s">
        <v>27</v>
      </c>
      <c r="G172" s="5" t="s">
        <v>27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5" t="s">
        <v>27</v>
      </c>
      <c r="N172" s="5" t="s">
        <v>22</v>
      </c>
      <c r="O172" s="5" t="s">
        <v>85</v>
      </c>
      <c r="P172" s="3"/>
    </row>
    <row r="173" ht="15.75" customHeight="1">
      <c r="A173" s="6"/>
      <c r="B173" s="5" t="s">
        <v>27</v>
      </c>
      <c r="C173" s="5" t="s">
        <v>27</v>
      </c>
      <c r="D173" s="5" t="s">
        <v>27</v>
      </c>
      <c r="E173" s="5" t="s">
        <v>27</v>
      </c>
      <c r="F173" s="5" t="s">
        <v>27</v>
      </c>
      <c r="G173" s="5" t="s">
        <v>27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5" t="s">
        <v>27</v>
      </c>
      <c r="N173" s="5" t="s">
        <v>76</v>
      </c>
      <c r="O173" s="5" t="s">
        <v>27</v>
      </c>
      <c r="P173" s="3"/>
    </row>
    <row r="174" ht="15.75" customHeight="1">
      <c r="A174" s="7"/>
      <c r="B174" s="8" t="s">
        <v>27</v>
      </c>
      <c r="C174" s="8" t="s">
        <v>27</v>
      </c>
      <c r="D174" s="8" t="s">
        <v>27</v>
      </c>
      <c r="E174" s="8" t="s">
        <v>27</v>
      </c>
      <c r="F174" s="8" t="s">
        <v>27</v>
      </c>
      <c r="G174" s="8" t="s">
        <v>27</v>
      </c>
      <c r="H174" s="8" t="s">
        <v>27</v>
      </c>
      <c r="I174" s="8" t="s">
        <v>27</v>
      </c>
      <c r="J174" s="8" t="s">
        <v>27</v>
      </c>
      <c r="K174" s="8" t="s">
        <v>27</v>
      </c>
      <c r="L174" s="8" t="s">
        <v>27</v>
      </c>
      <c r="M174" s="8" t="s">
        <v>27</v>
      </c>
      <c r="N174" s="8" t="s">
        <v>24</v>
      </c>
      <c r="O174" s="8" t="s">
        <v>27</v>
      </c>
      <c r="P174" s="3"/>
    </row>
    <row r="175" ht="15.75" customHeight="1">
      <c r="A175" s="4" t="s">
        <v>108</v>
      </c>
      <c r="B175" s="5" t="s">
        <v>27</v>
      </c>
      <c r="C175" s="5" t="s">
        <v>27</v>
      </c>
      <c r="D175" s="5" t="s">
        <v>27</v>
      </c>
      <c r="E175" s="5" t="s">
        <v>27</v>
      </c>
      <c r="F175" s="5" t="s">
        <v>27</v>
      </c>
      <c r="G175" s="5" t="s">
        <v>27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5" t="s">
        <v>27</v>
      </c>
      <c r="N175" s="5" t="s">
        <v>47</v>
      </c>
      <c r="O175" s="5" t="s">
        <v>86</v>
      </c>
      <c r="P175" s="3" t="str">
        <f>HYPERLINK("#مجمع!B" &amp; 27, "ورديات اليوم مجمعة")</f>
        <v>ورديات اليوم مجمعة</v>
      </c>
    </row>
    <row r="176" ht="15.75" customHeight="1">
      <c r="A176" s="6"/>
      <c r="B176" s="5" t="s">
        <v>27</v>
      </c>
      <c r="C176" s="5" t="s">
        <v>27</v>
      </c>
      <c r="D176" s="5" t="s">
        <v>27</v>
      </c>
      <c r="E176" s="5" t="s">
        <v>27</v>
      </c>
      <c r="F176" s="5" t="s">
        <v>27</v>
      </c>
      <c r="G176" s="5" t="s">
        <v>27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5" t="s">
        <v>27</v>
      </c>
      <c r="N176" s="5" t="s">
        <v>35</v>
      </c>
      <c r="O176" s="5" t="s">
        <v>80</v>
      </c>
      <c r="P176" s="3"/>
    </row>
    <row r="177" ht="15.75" customHeight="1">
      <c r="A177" s="6"/>
      <c r="B177" s="5" t="s">
        <v>27</v>
      </c>
      <c r="C177" s="5" t="s">
        <v>27</v>
      </c>
      <c r="D177" s="5" t="s">
        <v>27</v>
      </c>
      <c r="E177" s="5" t="s">
        <v>27</v>
      </c>
      <c r="F177" s="5" t="s">
        <v>27</v>
      </c>
      <c r="G177" s="5" t="s">
        <v>27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5" t="s">
        <v>27</v>
      </c>
      <c r="N177" s="5" t="s">
        <v>34</v>
      </c>
      <c r="O177" s="5" t="s">
        <v>83</v>
      </c>
      <c r="P177" s="3"/>
    </row>
    <row r="178" ht="15.75" customHeight="1">
      <c r="A178" s="6"/>
      <c r="B178" s="5" t="s">
        <v>27</v>
      </c>
      <c r="C178" s="5" t="s">
        <v>27</v>
      </c>
      <c r="D178" s="5" t="s">
        <v>27</v>
      </c>
      <c r="E178" s="5" t="s">
        <v>27</v>
      </c>
      <c r="F178" s="5" t="s">
        <v>27</v>
      </c>
      <c r="G178" s="5" t="s">
        <v>27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81</v>
      </c>
      <c r="O178" s="5" t="s">
        <v>67</v>
      </c>
      <c r="P178" s="3"/>
    </row>
    <row r="179" ht="15.75" customHeight="1">
      <c r="A179" s="7"/>
      <c r="B179" s="8" t="s">
        <v>27</v>
      </c>
      <c r="C179" s="8" t="s">
        <v>27</v>
      </c>
      <c r="D179" s="8" t="s">
        <v>27</v>
      </c>
      <c r="E179" s="8" t="s">
        <v>27</v>
      </c>
      <c r="F179" s="8" t="s">
        <v>27</v>
      </c>
      <c r="G179" s="8" t="s">
        <v>27</v>
      </c>
      <c r="H179" s="8" t="s">
        <v>27</v>
      </c>
      <c r="I179" s="8" t="s">
        <v>27</v>
      </c>
      <c r="J179" s="8" t="s">
        <v>27</v>
      </c>
      <c r="K179" s="8" t="s">
        <v>27</v>
      </c>
      <c r="L179" s="8" t="s">
        <v>27</v>
      </c>
      <c r="M179" s="8" t="s">
        <v>27</v>
      </c>
      <c r="N179" s="8" t="s">
        <v>79</v>
      </c>
      <c r="O179" s="8" t="s">
        <v>27</v>
      </c>
      <c r="P179" s="3"/>
    </row>
    <row r="180" ht="15.75" customHeight="1">
      <c r="A180" s="4" t="s">
        <v>109</v>
      </c>
      <c r="B180" s="5" t="s">
        <v>27</v>
      </c>
      <c r="C180" s="5" t="s">
        <v>27</v>
      </c>
      <c r="D180" s="5" t="s">
        <v>27</v>
      </c>
      <c r="E180" s="5" t="s">
        <v>27</v>
      </c>
      <c r="F180" s="5" t="s">
        <v>27</v>
      </c>
      <c r="G180" s="5" t="s">
        <v>27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86</v>
      </c>
      <c r="N180" s="5" t="s">
        <v>37</v>
      </c>
      <c r="O180" s="5" t="s">
        <v>82</v>
      </c>
      <c r="P180" s="3" t="str">
        <f>HYPERLINK("#مجمع!B" &amp; 28, "ورديات اليوم مجمعة")</f>
        <v>ورديات اليوم مجمعة</v>
      </c>
    </row>
    <row r="181" ht="15.75" customHeight="1">
      <c r="A181" s="6"/>
      <c r="B181" s="5" t="s">
        <v>27</v>
      </c>
      <c r="C181" s="5" t="s">
        <v>27</v>
      </c>
      <c r="D181" s="5" t="s">
        <v>27</v>
      </c>
      <c r="E181" s="5" t="s">
        <v>27</v>
      </c>
      <c r="F181" s="5" t="s">
        <v>27</v>
      </c>
      <c r="G181" s="5" t="s">
        <v>27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59</v>
      </c>
      <c r="N181" s="5" t="s">
        <v>23</v>
      </c>
      <c r="O181" s="5" t="s">
        <v>83</v>
      </c>
      <c r="P181" s="3"/>
    </row>
    <row r="182" ht="15.75" customHeight="1">
      <c r="A182" s="6"/>
      <c r="B182" s="5" t="s">
        <v>27</v>
      </c>
      <c r="C182" s="5" t="s">
        <v>27</v>
      </c>
      <c r="D182" s="5" t="s">
        <v>27</v>
      </c>
      <c r="E182" s="5" t="s">
        <v>27</v>
      </c>
      <c r="F182" s="5" t="s">
        <v>27</v>
      </c>
      <c r="G182" s="5" t="s">
        <v>27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5" t="s">
        <v>43</v>
      </c>
      <c r="N182" s="5" t="s">
        <v>31</v>
      </c>
      <c r="O182" s="5" t="s">
        <v>85</v>
      </c>
      <c r="P182" s="3"/>
    </row>
    <row r="183" ht="15.75" customHeight="1">
      <c r="A183" s="6"/>
      <c r="B183" s="5" t="s">
        <v>27</v>
      </c>
      <c r="C183" s="5" t="s">
        <v>27</v>
      </c>
      <c r="D183" s="5" t="s">
        <v>27</v>
      </c>
      <c r="E183" s="5" t="s">
        <v>27</v>
      </c>
      <c r="F183" s="5" t="s">
        <v>27</v>
      </c>
      <c r="G183" s="5" t="s">
        <v>27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61</v>
      </c>
      <c r="O183" s="5" t="s">
        <v>27</v>
      </c>
      <c r="P183" s="3"/>
    </row>
    <row r="184" ht="15.75" customHeight="1">
      <c r="A184" s="7"/>
      <c r="B184" s="8" t="s">
        <v>27</v>
      </c>
      <c r="C184" s="8" t="s">
        <v>27</v>
      </c>
      <c r="D184" s="8" t="s">
        <v>27</v>
      </c>
      <c r="E184" s="8" t="s">
        <v>27</v>
      </c>
      <c r="F184" s="8" t="s">
        <v>27</v>
      </c>
      <c r="G184" s="8" t="s">
        <v>27</v>
      </c>
      <c r="H184" s="8" t="s">
        <v>27</v>
      </c>
      <c r="I184" s="8" t="s">
        <v>27</v>
      </c>
      <c r="J184" s="8" t="s">
        <v>27</v>
      </c>
      <c r="K184" s="8" t="s">
        <v>27</v>
      </c>
      <c r="L184" s="8" t="s">
        <v>27</v>
      </c>
      <c r="M184" s="8" t="s">
        <v>27</v>
      </c>
      <c r="N184" s="8" t="s">
        <v>56</v>
      </c>
      <c r="O184" s="8" t="s">
        <v>27</v>
      </c>
      <c r="P184" s="3"/>
    </row>
  </sheetData>
  <mergeCells count="28">
    <mergeCell ref="A170:A174"/>
    <mergeCell ref="A175:A179"/>
    <mergeCell ref="A180:A184"/>
    <mergeCell ref="A141:A149"/>
    <mergeCell ref="A150:A157"/>
    <mergeCell ref="A158:A163"/>
    <mergeCell ref="A164:A169"/>
    <mergeCell ref="A82:A86"/>
    <mergeCell ref="A87:A91"/>
    <mergeCell ref="A92:A96"/>
    <mergeCell ref="A97:A105"/>
    <mergeCell ref="A136:A140"/>
    <mergeCell ref="A106:A113"/>
    <mergeCell ref="A114:A119"/>
    <mergeCell ref="A120:A125"/>
    <mergeCell ref="A126:A130"/>
    <mergeCell ref="A131:A135"/>
    <mergeCell ref="A76:A81"/>
    <mergeCell ref="A70:A75"/>
    <mergeCell ref="A25:A30"/>
    <mergeCell ref="A31:A35"/>
    <mergeCell ref="A36:A44"/>
    <mergeCell ref="A45:A52"/>
    <mergeCell ref="A53:A61"/>
    <mergeCell ref="A62:A69"/>
    <mergeCell ref="A2:A10"/>
    <mergeCell ref="A11:A18"/>
    <mergeCell ref="A19:A24"/>
  </mergeCells>
  <conditionalFormatting sqref="B2:O184">
    <cfRule type="containsBlanks" dxfId="0" priority="1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22.71"/>
    <col customWidth="1" min="3" max="3" width="16.71"/>
    <col customWidth="1" min="4" max="11" width="8.71"/>
  </cols>
  <sheetData>
    <row r="1">
      <c r="A1" s="2" t="s">
        <v>110</v>
      </c>
      <c r="B1" s="2" t="s">
        <v>111</v>
      </c>
      <c r="C1" s="2" t="s">
        <v>0</v>
      </c>
    </row>
    <row r="2">
      <c r="A2" s="1" t="s">
        <v>15</v>
      </c>
      <c r="B2" s="5" t="str">
        <f>"" &amp; "■■ " &amp; 'الجدول'!B1 &amp; " ■■" &amp; CHAR(10) &amp; "• " &amp; 'الجدول'!B2 &amp; CHAR(10) &amp; "• " &amp; 'الجدول'!B3 &amp; CHAR(10) &amp; "• " &amp; 'الجدول'!B4 &amp; CHAR(10) &amp; "• " &amp; 'الجدول'!B5 &amp; CHAR(10) &amp; "• " &amp; 'الجدول'!B6 &amp; CHAR(10) &amp; "• " &amp; 'الجدول'!B7 &amp; CHAR(10) &amp; "• " &amp; 'الجدول'!B8 &amp; CHAR(10) &amp; "• " &amp; 'الجدول'!B9 &amp; CHAR(10) &amp; "• " &amp; 'الجدول'!B10 &amp; CHAR(10) &amp; CHAR(10) &amp; "■■ " &amp; 'الجدول'!C1 &amp; " ■■" &amp; CHAR(10) &amp; "• " &amp; 'الجدول'!C2 &amp; CHAR(10) &amp; "• " &amp; 'الجدول'!C3 &amp; CHAR(10) &amp; "• " &amp; 'الجدول'!C4 &amp; CHAR(10) &amp; "• " &amp; 'الجدول'!C5 &amp; CHAR(10) &amp; "• " &amp; 'الجدول'!C6 &amp; CHAR(10) &amp; "• " &amp; 'الجدول'!C7 &amp; CHAR(10) &amp; "• " &amp; 'الجدول'!C8 &amp; CHAR(10) &amp; "• " &amp; 'الجدول'!C9 &amp; CHAR(10) &amp; "• " &amp; 'الجدول'!C10 &amp; CHAR(10) &amp; CHAR(10) &amp; "■■ " &amp; 'الجدول'!D1 &amp; " ■■" &amp; CHAR(10) &amp; "• " &amp; 'الجدول'!D2 &amp; CHAR(10) &amp; "• " &amp; 'الجدول'!D3 &amp; CHAR(10) &amp; "• " &amp; 'الجدول'!D4 &amp; CHAR(10) &amp; "• " &amp; 'الجدول'!D5 &amp; CHAR(10) &amp; "• " &amp; 'الجدول'!D6 &amp; CHAR(10) &amp; "• " &amp; 'الجدول'!D7 &amp; CHAR(10) &amp; "• " &amp; 'الجدول'!D8 &amp; CHAR(10) &amp; "• " &amp; 'الجدول'!D9 &amp; CHAR(10) &amp; "• " &amp; 'الجدول'!D10 &amp; CHAR(10) &amp; CHAR(10) &amp; "■■ " &amp; 'الجدول'!E1 &amp; " ■■" &amp; CHAR(10) &amp; "• " &amp; 'الجدول'!E2 &amp; CHAR(10) &amp; "• " &amp; 'الجدول'!E3 &amp; CHAR(10) &amp; "• " &amp; 'الجدول'!E4 &amp; CHAR(10) &amp; "• " &amp; 'الجدول'!E5 &amp; CHAR(10) &amp; "• " &amp; 'الجدول'!E6 &amp; CHAR(10) &amp; "• " &amp; 'الجدول'!E7 &amp; CHAR(10) &amp; "• " &amp; 'الجدول'!E8 &amp; CHAR(10) &amp; "• " &amp; 'الجدول'!E9 &amp; CHAR(10) &amp; "• " &amp; 'الجدول'!E10 &amp; CHAR(10) &amp; CHAR(10) &amp; "■■ " &amp; 'الجدول'!F1 &amp; " ■■" &amp; CHAR(10) &amp; "• " &amp; 'الجدول'!F2 &amp; CHAR(10) &amp; "• " &amp; 'الجدول'!F3 &amp; CHAR(10) &amp; "• " &amp; 'الجدول'!F4 &amp; CHAR(10) &amp; "• " &amp; 'الجدول'!F5 &amp; CHAR(10) &amp; "• " &amp; 'الجدول'!F6 &amp; CHAR(10) &amp; "• " &amp; 'الجدول'!F7 &amp; CHAR(10) &amp; "• " &amp; 'الجدول'!F8 &amp; CHAR(10) &amp; "• " &amp; 'الجدول'!F9 &amp; CHAR(10) &amp; "• " &amp; 'الجدول'!F10 &amp; CHAR(10) &amp; CHAR(10) &amp; "■■ " &amp; 'الجدول'!G1 &amp; " ■■" &amp; CHAR(10) &amp; "• " &amp; 'الجدول'!G2 &amp; CHAR(10) &amp; "• " &amp; 'الجدول'!G3 &amp; CHAR(10) &amp; "• " &amp; 'الجدول'!G4 &amp; CHAR(10) &amp; "• " &amp; 'الجدول'!G5 &amp; CHAR(10) &amp; "• " &amp; 'الجدول'!G6 &amp; CHAR(10) &amp; "• " &amp; 'الجدول'!G7 &amp; CHAR(10) &amp; "• " &amp; 'الجدول'!G8 &amp; CHAR(10) &amp; "• " &amp; 'الجدول'!G9 &amp; CHAR(10) &amp; "• " &amp; 'الجدول'!G10 &amp; CHAR(10) &amp; CHAR(10) &amp; "■■ " &amp; 'الجدول'!H1 &amp; " ■■" &amp; CHAR(10) &amp; "• " &amp; 'الجدول'!H2 &amp; CHAR(10) &amp; "• " &amp; 'الجدول'!H3 &amp; CHAR(10) &amp; "• " &amp; 'الجدول'!H4 &amp; CHAR(10) &amp; "• " &amp; 'الجدول'!H5 &amp; CHAR(10) &amp; "• " &amp; 'الجدول'!H6 &amp; CHAR(10) &amp; "• " &amp; 'الجدول'!H7 &amp; CHAR(10) &amp; "• " &amp; 'الجدول'!H8 &amp; CHAR(10) &amp; "• " &amp; 'الجدول'!H9 &amp; CHAR(10) &amp; "• " &amp; 'الجدول'!H10 &amp; CHAR(10) &amp; CHAR(10) &amp; "■■ " &amp; 'الجدول'!I1 &amp; " ■■" &amp; CHAR(10) &amp; "• " &amp; 'الجدول'!I2 &amp; CHAR(10) &amp; "• " &amp; 'الجدول'!I3 &amp; CHAR(10) &amp; "• " &amp; 'الجدول'!I4 &amp; CHAR(10) &amp; "• " &amp; 'الجدول'!I5 &amp; CHAR(10) &amp; "• " &amp; 'الجدول'!I6 &amp; CHAR(10) &amp; "• " &amp; 'الجدول'!I7 &amp; CHAR(10) &amp; "• " &amp; 'الجدول'!I8 &amp; CHAR(10) &amp; "• " &amp; 'الجدول'!I9 &amp; CHAR(10) &amp; "• " &amp; 'الجدول'!I10 &amp; CHAR(10) &amp; CHAR(10) &amp; "■■ " &amp; 'الجدول'!J1 &amp; " ■■" &amp; CHAR(10) &amp; "• " &amp; 'الجدول'!J2 &amp; CHAR(10) &amp; "• " &amp; 'الجدول'!J3 &amp; CHAR(10) &amp; "• " &amp; 'الجدول'!J4 &amp; CHAR(10) &amp; "• " &amp; 'الجدول'!J5 &amp; CHAR(10) &amp; "• " &amp; 'الجدول'!J6 &amp; CHAR(10) &amp; "• " &amp; 'الجدول'!J7 &amp; CHAR(10) &amp; "• " &amp; 'الجدول'!J8 &amp; CHAR(10) &amp; "• " &amp; 'الجدول'!J9 &amp; CHAR(10) &amp; "• " &amp; 'الجدول'!J10 &amp; CHAR(10) &amp; CHAR(10) &amp; "■■ " &amp; 'الجدول'!K1 &amp; " ■■" &amp; CHAR(10) &amp; "• " &amp; 'الجدول'!K2 &amp; CHAR(10) &amp; "• " &amp; 'الجدول'!K3 &amp; CHAR(10) &amp; "• " &amp; 'الجدول'!K4 &amp; CHAR(10) &amp; "• " &amp; 'الجدول'!K5 &amp; CHAR(10) &amp; "• " &amp; 'الجدول'!K6 &amp; CHAR(10) &amp; "• " &amp; 'الجدول'!K7 &amp; CHAR(10) &amp; "• " &amp; 'الجدول'!K8 &amp; CHAR(10) &amp; "• " &amp; 'الجدول'!K9 &amp; CHAR(10) &amp; "• " &amp; 'الجدول'!K10 &amp; CHAR(10) &amp; CHAR(10) &amp; "■■ " &amp; 'الجدول'!L1 &amp; " ■■" &amp; CHAR(10) &amp; "• " &amp; 'الجدول'!L2 &amp; CHAR(10) &amp; "• " &amp; 'الجدول'!L3 &amp; CHAR(10) &amp; "• " &amp; 'الجدول'!L4 &amp; CHAR(10) &amp; "• " &amp; 'الجدول'!L5 &amp; CHAR(10) &amp; "• " &amp; 'الجدول'!L6 &amp; CHAR(10) &amp; "• " &amp; 'الجدول'!L7 &amp; CHAR(10) &amp; "• " &amp; 'الجدول'!L8 &amp; CHAR(10) &amp; "• " &amp; 'الجدول'!L9 &amp; CHAR(10) &amp; "• " &amp; 'الجدول'!L10 &amp; CHAR(10) &amp; CHAR(10) &amp; "■■ " &amp; 'الجدول'!M1 &amp; " ■■" &amp; CHAR(10) &amp; "• " &amp; 'الجدول'!M2 &amp; CHAR(10) &amp; "• " &amp; 'الجدول'!M3 &amp; CHAR(10) &amp; "• " &amp; 'الجدول'!M4 &amp; CHAR(10) &amp; "• " &amp; 'الجدول'!M5 &amp; CHAR(10) &amp; "• " &amp; 'الجدول'!M6 &amp; CHAR(10) &amp; "• " &amp; 'الجدول'!M7 &amp; CHAR(10) &amp; "• " &amp; 'الجدول'!M8 &amp; CHAR(10) &amp; "• " &amp; 'الجدول'!M9 &amp; CHAR(10) &amp; "• " &amp; 'الجدول'!M10 &amp; CHAR(10) &amp; CHAR(10) &amp; "■■ " &amp; 'الجدول'!N1 &amp; " ■■" &amp; CHAR(10) &amp; "• " &amp; 'الجدول'!N2 &amp; CHAR(10) &amp; "• " &amp; 'الجدول'!N3 &amp; CHAR(10) &amp; "• " &amp; 'الجدول'!N4 &amp; CHAR(10) &amp; "• " &amp; 'الجدول'!N5 &amp; CHAR(10) &amp; "• " &amp; 'الجدول'!N6 &amp; CHAR(10) &amp; "• " &amp; 'الجدول'!N7 &amp; CHAR(10) &amp; "• " &amp; 'الجدول'!N8 &amp; CHAR(10) &amp; "• " &amp; 'الجدول'!N9 &amp; CHAR(10) &amp; "• " &amp; 'الجدول'!N10 &amp; CHAR(10) &amp; CHAR(10) &amp; "■■ " &amp; 'الجدول'!O1 &amp; " ■■" &amp; CHAR(10) &amp; "• " &amp; 'الجدول'!O2 &amp; CHAR(10) &amp; "• " &amp; 'الجدول'!O3 &amp; CHAR(10) &amp; "• " &amp; 'الجدول'!O4 &amp; CHAR(10) &amp; "• " &amp; 'الجدول'!O5 &amp; CHAR(10) &amp; "• " &amp; 'الجدول'!O6 &amp; CHAR(10) &amp; "• " &amp; 'الجدول'!O7 &amp; CHAR(10) &amp; "• " &amp; 'الجدول'!O8 &amp; CHAR(10) &amp; "• " &amp; 'الجدول'!O9 &amp; CHAR(10) &amp; "• " &amp; 'الجدول'!O10 &amp; CHAR(10) &amp; CHAR(10)</f>
        <v>■■ ER ADMISSION-NIGHT-🚨🌙 ■■
• بلال جودة
(01066199644)
• ----------
• ----------
• ----------
• ----------
• ----------
• ----------
• ----------
• ----------
■■ ER ADMISSIONS -DAY-🚨☀️ ■■
• سلمى أبوالعلا
(01124166114)
• ----------
• ----------
• ----------
• ----------
• ----------
• ----------
• ----------
• ----------
■■ ER-clinic Day ☀️🚨 ■■
• دانه طارق
(01012809042)
• ----------
• ----------
• ----------
• ----------
• ----------
• ----------
• ----------
• ----------
■■ ER GENERAL-DAY-🚨☀️ ■■
• استيفن مدحت منير
(01200226122)
• محمد خالد محمد
(01008204601)
• أحمد رجب محمد
(01273127265)
• عمر حسن محمد حسن حجازي
(01019701020)
• كارين باسم صومائيل
(01274209975)
• روان ياسر سليم
(01005005160)
• هديل نادي محند
(01033032220)
• مي خالد ابوزيد
(01023578224)
• رنيم حاتم رفيق بسيسو
(01144758373)
■■ ER GENERAL-NIGHT-🚨🌙 ■■
• عمرو وائل سرور
(01023140340)
• محمد محمود ابراهيم
(01112057358)
• احمد ايهاب محمد عواد
(01032298339)
• احمد ناصر
(01553479200)
• محمد عمرو محمد عبدالباقي
(01151653320)
• مي طارق نهاد
(01287477488)
• يوسف عاطف رزق الله
(01148183647)
• Mohamed Ahmed
• ----------
■■ ER PT-DAY-🚨☀️ ■■
• مينا رومانى عبده
(01212866642)
• منار احمد سعيد
(01092708033)
• منار عواد عبدالعال عواد
(01001915861)
• عبدالمسيح مكرم
(01203267885)
• مها حسين السيد
(01012349071)
• أعناب طارق عوض
(01146334179)
• Sara Refaat
(01220039613)
• هديل هشام منصور الوشاحي
(01227221344)
• ----------
■■ ER PT-NIGHT-🚨🌙 ■■
• سندس أحمد سيد
(01156131096)
• مصطفى عبد الراضى صديق
(01226696153)
• Ziad said mohamed
(01028577876)
• احمد حسين أحمد
(01001877491)
• شهاب احمد حلمي
(01055979002)
• منه الله هشام السيد
(01002996214)
• احمدنوید قیومی
(01104573242)
• شيماء رمضان سعد
(01021468731)
• شدو محمد شلتوت
(1550336384)
■■ ER TRIAGE-DAY-🚨☀️ ■■
• كارين روماني راشد
(01102663062)
• ----------
• ----------
• ----------
• ----------
• ----------
• ----------
• ----------
• ----------
■■ ER TRIAGE-NIGHT-🚨🌙 ■■
• ملك محمد فؤاد
(01001721072)
• ----------
• ----------
• ----------
• ----------
• ----------
• ----------
• ----------
• ----------
■■ ER WARD-DAY-🚨☀️ ■■
• محمود عبد المحسن إبراهيم
(01062086612)
• سعيد السيد محمد السيد محمد سابق
(01203394950)
• أحمد زيدان
(01110524147)
• منة السيد عبد الباقي
(01274588193)
• احمد حسام الدين صلاح
(01065567736)
• بلال أحمد
(01066883767)
• ----------
• ----------
• ----------
■■ ER WARD-NIGHT-🚨🌙 ■■
• محمد  الجمل
(01091463337)
• احمد عزت الشيخ
(01226872660)
• ريهام سعد عبدالرحمن
(01124867574)
• رؤى أحمد عبدالحميد البليهي
(01021284862)
• الاء الحداد
(01033882560)
• تقى عماد حسني
(01119716276)
• ----------
• ----------
• ----------
■■ 🗡️LISTA ■■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</v>
      </c>
      <c r="C2" s="3" t="str">
        <f>HYPERLINK("#الجدول!A" &amp; 1, "الجدول الأساسي")</f>
        <v>الجدول الأساسي</v>
      </c>
    </row>
    <row r="3">
      <c r="A3" s="1" t="s">
        <v>68</v>
      </c>
      <c r="B3" s="5" t="str">
        <f>"" &amp; "■■ " &amp; 'الجدول'!B1 &amp; " ■■" &amp; CHAR(10) &amp; "• " &amp; 'الجدول'!B11 &amp; CHAR(10) &amp; "• " &amp; 'الجدول'!B12 &amp; CHAR(10) &amp; "• " &amp; 'الجدول'!B13 &amp; CHAR(10) &amp; "• " &amp; 'الجدول'!B14 &amp; CHAR(10) &amp; "• " &amp; 'الجدول'!B15 &amp; CHAR(10) &amp; "• " &amp; 'الجدول'!B16 &amp; CHAR(10) &amp; "• " &amp; 'الجدول'!B17 &amp; CHAR(10) &amp; "• " &amp; 'الجدول'!B18 &amp; CHAR(10) &amp; CHAR(10) &amp; "■■ " &amp; 'الجدول'!C1 &amp; " ■■" &amp; CHAR(10) &amp; "• " &amp; 'الجدول'!C11 &amp; CHAR(10) &amp; "• " &amp; 'الجدول'!C12 &amp; CHAR(10) &amp; "• " &amp; 'الجدول'!C13 &amp; CHAR(10) &amp; "• " &amp; 'الجدول'!C14 &amp; CHAR(10) &amp; "• " &amp; 'الجدول'!C15 &amp; CHAR(10) &amp; "• " &amp; 'الجدول'!C16 &amp; CHAR(10) &amp; "• " &amp; 'الجدول'!C17 &amp; CHAR(10) &amp; "• " &amp; 'الجدول'!C18 &amp; CHAR(10) &amp; CHAR(10) &amp; "■■ " &amp; 'الجدول'!D1 &amp; " ■■" &amp; CHAR(10) &amp; "• " &amp; 'الجدول'!D11 &amp; CHAR(10) &amp; "• " &amp; 'الجدول'!D12 &amp; CHAR(10) &amp; "• " &amp; 'الجدول'!D13 &amp; CHAR(10) &amp; "• " &amp; 'الجدول'!D14 &amp; CHAR(10) &amp; "• " &amp; 'الجدول'!D15 &amp; CHAR(10) &amp; "• " &amp; 'الجدول'!D16 &amp; CHAR(10) &amp; "• " &amp; 'الجدول'!D17 &amp; CHAR(10) &amp; "• " &amp; 'الجدول'!D18 &amp; CHAR(10) &amp; CHAR(10) &amp; "■■ " &amp; 'الجدول'!E1 &amp; " ■■" &amp; CHAR(10) &amp; "• " &amp; 'الجدول'!E11 &amp; CHAR(10) &amp; "• " &amp; 'الجدول'!E12 &amp; CHAR(10) &amp; "• " &amp; 'الجدول'!E13 &amp; CHAR(10) &amp; "• " &amp; 'الجدول'!E14 &amp; CHAR(10) &amp; "• " &amp; 'الجدول'!E15 &amp; CHAR(10) &amp; "• " &amp; 'الجدول'!E16 &amp; CHAR(10) &amp; "• " &amp; 'الجدول'!E17 &amp; CHAR(10) &amp; "• " &amp; 'الجدول'!E18 &amp; CHAR(10) &amp; CHAR(10) &amp; "■■ " &amp; 'الجدول'!F1 &amp; " ■■" &amp; CHAR(10) &amp; "• " &amp; 'الجدول'!F11 &amp; CHAR(10) &amp; "• " &amp; 'الجدول'!F12 &amp; CHAR(10) &amp; "• " &amp; 'الجدول'!F13 &amp; CHAR(10) &amp; "• " &amp; 'الجدول'!F14 &amp; CHAR(10) &amp; "• " &amp; 'الجدول'!F15 &amp; CHAR(10) &amp; "• " &amp; 'الجدول'!F16 &amp; CHAR(10) &amp; "• " &amp; 'الجدول'!F17 &amp; CHAR(10) &amp; "• " &amp; 'الجدول'!F18 &amp; CHAR(10) &amp; CHAR(10) &amp; "■■ " &amp; 'الجدول'!G1 &amp; " ■■" &amp; CHAR(10) &amp; "• " &amp; 'الجدول'!G11 &amp; CHAR(10) &amp; "• " &amp; 'الجدول'!G12 &amp; CHAR(10) &amp; "• " &amp; 'الجدول'!G13 &amp; CHAR(10) &amp; "• " &amp; 'الجدول'!G14 &amp; CHAR(10) &amp; "• " &amp; 'الجدول'!G15 &amp; CHAR(10) &amp; "• " &amp; 'الجدول'!G16 &amp; CHAR(10) &amp; "• " &amp; 'الجدول'!G17 &amp; CHAR(10) &amp; "• " &amp; 'الجدول'!G18 &amp; CHAR(10) &amp; CHAR(10) &amp; "■■ " &amp; 'الجدول'!H1 &amp; " ■■" &amp; CHAR(10) &amp; "• " &amp; 'الجدول'!H11 &amp; CHAR(10) &amp; "• " &amp; 'الجدول'!H12 &amp; CHAR(10) &amp; "• " &amp; 'الجدول'!H13 &amp; CHAR(10) &amp; "• " &amp; 'الجدول'!H14 &amp; CHAR(10) &amp; "• " &amp; 'الجدول'!H15 &amp; CHAR(10) &amp; "• " &amp; 'الجدول'!H16 &amp; CHAR(10) &amp; "• " &amp; 'الجدول'!H17 &amp; CHAR(10) &amp; "• " &amp; 'الجدول'!H18 &amp; CHAR(10) &amp; CHAR(10) &amp; "■■ " &amp; 'الجدول'!I1 &amp; " ■■" &amp; CHAR(10) &amp; "• " &amp; 'الجدول'!I11 &amp; CHAR(10) &amp; "• " &amp; 'الجدول'!I12 &amp; CHAR(10) &amp; "• " &amp; 'الجدول'!I13 &amp; CHAR(10) &amp; "• " &amp; 'الجدول'!I14 &amp; CHAR(10) &amp; "• " &amp; 'الجدول'!I15 &amp; CHAR(10) &amp; "• " &amp; 'الجدول'!I16 &amp; CHAR(10) &amp; "• " &amp; 'الجدول'!I17 &amp; CHAR(10) &amp; "• " &amp; 'الجدول'!I18 &amp; CHAR(10) &amp; CHAR(10) &amp; "■■ " &amp; 'الجدول'!J1 &amp; " ■■" &amp; CHAR(10) &amp; "• " &amp; 'الجدول'!J11 &amp; CHAR(10) &amp; "• " &amp; 'الجدول'!J12 &amp; CHAR(10) &amp; "• " &amp; 'الجدول'!J13 &amp; CHAR(10) &amp; "• " &amp; 'الجدول'!J14 &amp; CHAR(10) &amp; "• " &amp; 'الجدول'!J15 &amp; CHAR(10) &amp; "• " &amp; 'الجدول'!J16 &amp; CHAR(10) &amp; "• " &amp; 'الجدول'!J17 &amp; CHAR(10) &amp; "• " &amp; 'الجدول'!J18 &amp; CHAR(10) &amp; CHAR(10) &amp; "■■ " &amp; 'الجدول'!K1 &amp; " ■■" &amp; CHAR(10) &amp; "• " &amp; 'الجدول'!K11 &amp; CHAR(10) &amp; "• " &amp; 'الجدول'!K12 &amp; CHAR(10) &amp; "• " &amp; 'الجدول'!K13 &amp; CHAR(10) &amp; "• " &amp; 'الجدول'!K14 &amp; CHAR(10) &amp; "• " &amp; 'الجدول'!K15 &amp; CHAR(10) &amp; "• " &amp; 'الجدول'!K16 &amp; CHAR(10) &amp; "• " &amp; 'الجدول'!K17 &amp; CHAR(10) &amp; "• " &amp; 'الجدول'!K18 &amp; CHAR(10) &amp; CHAR(10) &amp; "■■ " &amp; 'الجدول'!L1 &amp; " ■■" &amp; CHAR(10) &amp; "• " &amp; 'الجدول'!L11 &amp; CHAR(10) &amp; "• " &amp; 'الجدول'!L12 &amp; CHAR(10) &amp; "• " &amp; 'الجدول'!L13 &amp; CHAR(10) &amp; "• " &amp; 'الجدول'!L14 &amp; CHAR(10) &amp; "• " &amp; 'الجدول'!L15 &amp; CHAR(10) &amp; "• " &amp; 'الجدول'!L16 &amp; CHAR(10) &amp; "• " &amp; 'الجدول'!L17 &amp; CHAR(10) &amp; "• " &amp; 'الجدول'!L18 &amp; CHAR(10) &amp; CHAR(10) &amp; "■■ " &amp; 'الجدول'!M1 &amp; " ■■" &amp; CHAR(10) &amp; "• " &amp; 'الجدول'!M11 &amp; CHAR(10) &amp; "• " &amp; 'الجدول'!M12 &amp; CHAR(10) &amp; "• " &amp; 'الجدول'!M13 &amp; CHAR(10) &amp; "• " &amp; 'الجدول'!M14 &amp; CHAR(10) &amp; "• " &amp; 'الجدول'!M15 &amp; CHAR(10) &amp; "• " &amp; 'الجدول'!M16 &amp; CHAR(10) &amp; "• " &amp; 'الجدول'!M17 &amp; CHAR(10) &amp; "• " &amp; 'الجدول'!M18 &amp; CHAR(10) &amp; CHAR(10) &amp; "■■ " &amp; 'الجدول'!N1 &amp; " ■■" &amp; CHAR(10) &amp; "• " &amp; 'الجدول'!N11 &amp; CHAR(10) &amp; "• " &amp; 'الجدول'!N12 &amp; CHAR(10) &amp; "• " &amp; 'الجدول'!N13 &amp; CHAR(10) &amp; "• " &amp; 'الجدول'!N14 &amp; CHAR(10) &amp; "• " &amp; 'الجدول'!N15 &amp; CHAR(10) &amp; "• " &amp; 'الجدول'!N16 &amp; CHAR(10) &amp; "• " &amp; 'الجدول'!N17 &amp; CHAR(10) &amp; "• " &amp; 'الجدول'!N18 &amp; CHAR(10) &amp; CHAR(10) &amp; "■■ " &amp; 'الجدول'!O1 &amp; " ■■" &amp; CHAR(10) &amp; "• " &amp; 'الجدول'!O11 &amp; CHAR(10) &amp; "• " &amp; 'الجدول'!O12 &amp; CHAR(10) &amp; "• " &amp; 'الجدول'!O13 &amp; CHAR(10) &amp; "• " &amp; 'الجدول'!O14 &amp; CHAR(10) &amp; "• " &amp; 'الجدول'!O15 &amp; CHAR(10) &amp; "• " &amp; 'الجدول'!O16 &amp; CHAR(10) &amp; "• " &amp; 'الجدول'!O17 &amp; CHAR(10) &amp; "• " &amp; 'الجدول'!O18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احمد حسام الدين صلاح
(01065567736)
• بلال أحمد
(01066883767)
• أحمد رجب محمد
(01273127265)
• مصطفى عبد الراضى صديق
(01226696153)
• منار احمد سعيد
(01092708033)
• أعناب طارق عوض
(01146334179)
• زينة أشرف حسين
(01067196820)
• زينة أشرف حسين
(01067196820)
■■ WARD-NIGHT-🌙 ■■
• سعيد السيد محمد السيد محمد سابق
(01203394950)
• دانه طارق
(01012809042)
• مريم السيد أحمد خيرالله
(01099882992)
• هديل هشام منصور الوشاحي
(01227221344)
• شيماء رمضان سعد
(01021468731)
• ----------
• ----------
• ----------
</v>
      </c>
      <c r="C3" s="3" t="str">
        <f>HYPERLINK("#الجدول!A" &amp; 10, "الجدول الأساسي")</f>
        <v>الجدول الأساسي</v>
      </c>
    </row>
    <row r="4">
      <c r="A4" s="1" t="s">
        <v>71</v>
      </c>
      <c r="B4" s="5" t="str">
        <f>"" &amp; "■■ " &amp; 'الجدول'!B1 &amp; " ■■" &amp; CHAR(10) &amp; "• " &amp; 'الجدول'!B19 &amp; CHAR(10) &amp; "• " &amp; 'الجدول'!B20 &amp; CHAR(10) &amp; "• " &amp; 'الجدول'!B21 &amp; CHAR(10) &amp; "• " &amp; 'الجدول'!B22 &amp; CHAR(10) &amp; "• " &amp; 'الجدول'!B23 &amp; CHAR(10) &amp; "• " &amp; 'الجدول'!B24 &amp; CHAR(10) &amp; CHAR(10) &amp; "■■ " &amp; 'الجدول'!C1 &amp; " ■■" &amp; CHAR(10) &amp; "• " &amp; 'الجدول'!C19 &amp; CHAR(10) &amp; "• " &amp; 'الجدول'!C20 &amp; CHAR(10) &amp; "• " &amp; 'الجدول'!C21 &amp; CHAR(10) &amp; "• " &amp; 'الجدول'!C22 &amp; CHAR(10) &amp; "• " &amp; 'الجدول'!C23 &amp; CHAR(10) &amp; "• " &amp; 'الجدول'!C24 &amp; CHAR(10) &amp; CHAR(10) &amp; "■■ " &amp; 'الجدول'!D1 &amp; " ■■" &amp; CHAR(10) &amp; "• " &amp; 'الجدول'!D19 &amp; CHAR(10) &amp; "• " &amp; 'الجدول'!D20 &amp; CHAR(10) &amp; "• " &amp; 'الجدول'!D21 &amp; CHAR(10) &amp; "• " &amp; 'الجدول'!D22 &amp; CHAR(10) &amp; "• " &amp; 'الجدول'!D23 &amp; CHAR(10) &amp; "• " &amp; 'الجدول'!D24 &amp; CHAR(10) &amp; CHAR(10) &amp; "■■ " &amp; 'الجدول'!E1 &amp; " ■■" &amp; CHAR(10) &amp; "• " &amp; 'الجدول'!E19 &amp; CHAR(10) &amp; "• " &amp; 'الجدول'!E20 &amp; CHAR(10) &amp; "• " &amp; 'الجدول'!E21 &amp; CHAR(10) &amp; "• " &amp; 'الجدول'!E22 &amp; CHAR(10) &amp; "• " &amp; 'الجدول'!E23 &amp; CHAR(10) &amp; "• " &amp; 'الجدول'!E24 &amp; CHAR(10) &amp; CHAR(10) &amp; "■■ " &amp; 'الجدول'!F1 &amp; " ■■" &amp; CHAR(10) &amp; "• " &amp; 'الجدول'!F19 &amp; CHAR(10) &amp; "• " &amp; 'الجدول'!F20 &amp; CHAR(10) &amp; "• " &amp; 'الجدول'!F21 &amp; CHAR(10) &amp; "• " &amp; 'الجدول'!F22 &amp; CHAR(10) &amp; "• " &amp; 'الجدول'!F23 &amp; CHAR(10) &amp; "• " &amp; 'الجدول'!F24 &amp; CHAR(10) &amp; CHAR(10) &amp; "■■ " &amp; 'الجدول'!G1 &amp; " ■■" &amp; CHAR(10) &amp; "• " &amp; 'الجدول'!G19 &amp; CHAR(10) &amp; "• " &amp; 'الجدول'!G20 &amp; CHAR(10) &amp; "• " &amp; 'الجدول'!G21 &amp; CHAR(10) &amp; "• " &amp; 'الجدول'!G22 &amp; CHAR(10) &amp; "• " &amp; 'الجدول'!G23 &amp; CHAR(10) &amp; "• " &amp; 'الجدول'!G24 &amp; CHAR(10) &amp; CHAR(10) &amp; "■■ " &amp; 'الجدول'!H1 &amp; " ■■" &amp; CHAR(10) &amp; "• " &amp; 'الجدول'!H19 &amp; CHAR(10) &amp; "• " &amp; 'الجدول'!H20 &amp; CHAR(10) &amp; "• " &amp; 'الجدول'!H21 &amp; CHAR(10) &amp; "• " &amp; 'الجدول'!H22 &amp; CHAR(10) &amp; "• " &amp; 'الجدول'!H23 &amp; CHAR(10) &amp; "• " &amp; 'الجدول'!H24 &amp; CHAR(10) &amp; CHAR(10) &amp; "■■ " &amp; 'الجدول'!I1 &amp; " ■■" &amp; CHAR(10) &amp; "• " &amp; 'الجدول'!I19 &amp; CHAR(10) &amp; "• " &amp; 'الجدول'!I20 &amp; CHAR(10) &amp; "• " &amp; 'الجدول'!I21 &amp; CHAR(10) &amp; "• " &amp; 'الجدول'!I22 &amp; CHAR(10) &amp; "• " &amp; 'الجدول'!I23 &amp; CHAR(10) &amp; "• " &amp; 'الجدول'!I24 &amp; CHAR(10) &amp; CHAR(10) &amp; "■■ " &amp; 'الجدول'!J1 &amp; " ■■" &amp; CHAR(10) &amp; "• " &amp; 'الجدول'!J19 &amp; CHAR(10) &amp; "• " &amp; 'الجدول'!J20 &amp; CHAR(10) &amp; "• " &amp; 'الجدول'!J21 &amp; CHAR(10) &amp; "• " &amp; 'الجدول'!J22 &amp; CHAR(10) &amp; "• " &amp; 'الجدول'!J23 &amp; CHAR(10) &amp; "• " &amp; 'الجدول'!J24 &amp; CHAR(10) &amp; CHAR(10) &amp; "■■ " &amp; 'الجدول'!K1 &amp; " ■■" &amp; CHAR(10) &amp; "• " &amp; 'الجدول'!K19 &amp; CHAR(10) &amp; "• " &amp; 'الجدول'!K20 &amp; CHAR(10) &amp; "• " &amp; 'الجدول'!K21 &amp; CHAR(10) &amp; "• " &amp; 'الجدول'!K22 &amp; CHAR(10) &amp; "• " &amp; 'الجدول'!K23 &amp; CHAR(10) &amp; "• " &amp; 'الجدول'!K24 &amp; CHAR(10) &amp; CHAR(10) &amp; "■■ " &amp; 'الجدول'!L1 &amp; " ■■" &amp; CHAR(10) &amp; "• " &amp; 'الجدول'!L19 &amp; CHAR(10) &amp; "• " &amp; 'الجدول'!L20 &amp; CHAR(10) &amp; "• " &amp; 'الجدول'!L21 &amp; CHAR(10) &amp; "• " &amp; 'الجدول'!L22 &amp; CHAR(10) &amp; "• " &amp; 'الجدول'!L23 &amp; CHAR(10) &amp; "• " &amp; 'الجدول'!L24 &amp; CHAR(10) &amp; CHAR(10) &amp; "■■ " &amp; 'الجدول'!M1 &amp; " ■■" &amp; CHAR(10) &amp; "• " &amp; 'الجدول'!M19 &amp; CHAR(10) &amp; "• " &amp; 'الجدول'!M20 &amp; CHAR(10) &amp; "• " &amp; 'الجدول'!M21 &amp; CHAR(10) &amp; "• " &amp; 'الجدول'!M22 &amp; CHAR(10) &amp; "• " &amp; 'الجدول'!M23 &amp; CHAR(10) &amp; "• " &amp; 'الجدول'!M24 &amp; CHAR(10) &amp; CHAR(10) &amp; "■■ " &amp; 'الجدول'!N1 &amp; " ■■" &amp; CHAR(10) &amp; "• " &amp; 'الجدول'!N19 &amp; CHAR(10) &amp; "• " &amp; 'الجدول'!N20 &amp; CHAR(10) &amp; "• " &amp; 'الجدول'!N21 &amp; CHAR(10) &amp; "• " &amp; 'الجدول'!N22 &amp; CHAR(10) &amp; "• " &amp; 'الجدول'!N23 &amp; CHAR(10) &amp; "• " &amp; 'الجدول'!N24 &amp; CHAR(10) &amp; CHAR(10) &amp; "■■ " &amp; 'الجدول'!O1 &amp; " ■■" &amp; CHAR(10) &amp; "• " &amp; 'الجدول'!O19 &amp; CHAR(10) &amp; "• " &amp; 'الجدول'!O20 &amp; CHAR(10) &amp; "• " &amp; 'الجدول'!O21 &amp; CHAR(10) &amp; "• " &amp; 'الجدول'!O22 &amp; CHAR(10) &amp; "• " &amp; 'الجدول'!O23 &amp; CHAR(10) &amp; "• " &amp; 'الجدول'!O24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محمد  الجمل
(01091463337)
• احمد عزت الشيخ
(01226872660)
• مي خالد ابوزيد
(01023578224)
• ----------
• ----------
• ----------
■■ WARD-DAY-☀️ ■■
• محمود عبد المحسن إبراهيم
(01062086612)
• Youssef elsemary
(01126286820)
• Sara Refaat
(01220039613)
• أعناب طارق عوض
(01146334179)
• استيفن مدحت منير
(01200226122)
• Mohamed Ahmed
■■ WARD-NIGHT-🌙 ■■
• احمد عزت الشيخ
(01226872660)
• محمد محمود ابراهيم
(01112057358)
• مي طارق نهاد
(01287477488)
• محمد  الجمل
(01091463337)
• ----------
• ----------
</v>
      </c>
      <c r="C4" s="3" t="str">
        <f>HYPERLINK("#الجدول!A" &amp; 18, "الجدول الأساسي")</f>
        <v>الجدول الأساسي</v>
      </c>
    </row>
    <row r="5">
      <c r="A5" s="1" t="s">
        <v>73</v>
      </c>
      <c r="B5" s="5" t="str">
        <f>"" &amp; "■■ " &amp; 'الجدول'!B1 &amp; " ■■" &amp; CHAR(10) &amp; "• " &amp; 'الجدول'!B25 &amp; CHAR(10) &amp; "• " &amp; 'الجدول'!B26 &amp; CHAR(10) &amp; "• " &amp; 'الجدول'!B27 &amp; CHAR(10) &amp; "• " &amp; 'الجدول'!B28 &amp; CHAR(10) &amp; "• " &amp; 'الجدول'!B29 &amp; CHAR(10) &amp; "• " &amp; 'الجدول'!B30 &amp; CHAR(10) &amp; CHAR(10) &amp; "■■ " &amp; 'الجدول'!C1 &amp; " ■■" &amp; CHAR(10) &amp; "• " &amp; 'الجدول'!C25 &amp; CHAR(10) &amp; "• " &amp; 'الجدول'!C26 &amp; CHAR(10) &amp; "• " &amp; 'الجدول'!C27 &amp; CHAR(10) &amp; "• " &amp; 'الجدول'!C28 &amp; CHAR(10) &amp; "• " &amp; 'الجدول'!C29 &amp; CHAR(10) &amp; "• " &amp; 'الجدول'!C30 &amp; CHAR(10) &amp; CHAR(10) &amp; "■■ " &amp; 'الجدول'!D1 &amp; " ■■" &amp; CHAR(10) &amp; "• " &amp; 'الجدول'!D25 &amp; CHAR(10) &amp; "• " &amp; 'الجدول'!D26 &amp; CHAR(10) &amp; "• " &amp; 'الجدول'!D27 &amp; CHAR(10) &amp; "• " &amp; 'الجدول'!D28 &amp; CHAR(10) &amp; "• " &amp; 'الجدول'!D29 &amp; CHAR(10) &amp; "• " &amp; 'الجدول'!D30 &amp; CHAR(10) &amp; CHAR(10) &amp; "■■ " &amp; 'الجدول'!E1 &amp; " ■■" &amp; CHAR(10) &amp; "• " &amp; 'الجدول'!E25 &amp; CHAR(10) &amp; "• " &amp; 'الجدول'!E26 &amp; CHAR(10) &amp; "• " &amp; 'الجدول'!E27 &amp; CHAR(10) &amp; "• " &amp; 'الجدول'!E28 &amp; CHAR(10) &amp; "• " &amp; 'الجدول'!E29 &amp; CHAR(10) &amp; "• " &amp; 'الجدول'!E30 &amp; CHAR(10) &amp; CHAR(10) &amp; "■■ " &amp; 'الجدول'!F1 &amp; " ■■" &amp; CHAR(10) &amp; "• " &amp; 'الجدول'!F25 &amp; CHAR(10) &amp; "• " &amp; 'الجدول'!F26 &amp; CHAR(10) &amp; "• " &amp; 'الجدول'!F27 &amp; CHAR(10) &amp; "• " &amp; 'الجدول'!F28 &amp; CHAR(10) &amp; "• " &amp; 'الجدول'!F29 &amp; CHAR(10) &amp; "• " &amp; 'الجدول'!F30 &amp; CHAR(10) &amp; CHAR(10) &amp; "■■ " &amp; 'الجدول'!G1 &amp; " ■■" &amp; CHAR(10) &amp; "• " &amp; 'الجدول'!G25 &amp; CHAR(10) &amp; "• " &amp; 'الجدول'!G26 &amp; CHAR(10) &amp; "• " &amp; 'الجدول'!G27 &amp; CHAR(10) &amp; "• " &amp; 'الجدول'!G28 &amp; CHAR(10) &amp; "• " &amp; 'الجدول'!G29 &amp; CHAR(10) &amp; "• " &amp; 'الجدول'!G30 &amp; CHAR(10) &amp; CHAR(10) &amp; "■■ " &amp; 'الجدول'!H1 &amp; " ■■" &amp; CHAR(10) &amp; "• " &amp; 'الجدول'!H25 &amp; CHAR(10) &amp; "• " &amp; 'الجدول'!H26 &amp; CHAR(10) &amp; "• " &amp; 'الجدول'!H27 &amp; CHAR(10) &amp; "• " &amp; 'الجدول'!H28 &amp; CHAR(10) &amp; "• " &amp; 'الجدول'!H29 &amp; CHAR(10) &amp; "• " &amp; 'الجدول'!H30 &amp; CHAR(10) &amp; CHAR(10) &amp; "■■ " &amp; 'الجدول'!I1 &amp; " ■■" &amp; CHAR(10) &amp; "• " &amp; 'الجدول'!I25 &amp; CHAR(10) &amp; "• " &amp; 'الجدول'!I26 &amp; CHAR(10) &amp; "• " &amp; 'الجدول'!I27 &amp; CHAR(10) &amp; "• " &amp; 'الجدول'!I28 &amp; CHAR(10) &amp; "• " &amp; 'الجدول'!I29 &amp; CHAR(10) &amp; "• " &amp; 'الجدول'!I30 &amp; CHAR(10) &amp; CHAR(10) &amp; "■■ " &amp; 'الجدول'!J1 &amp; " ■■" &amp; CHAR(10) &amp; "• " &amp; 'الجدول'!J25 &amp; CHAR(10) &amp; "• " &amp; 'الجدول'!J26 &amp; CHAR(10) &amp; "• " &amp; 'الجدول'!J27 &amp; CHAR(10) &amp; "• " &amp; 'الجدول'!J28 &amp; CHAR(10) &amp; "• " &amp; 'الجدول'!J29 &amp; CHAR(10) &amp; "• " &amp; 'الجدول'!J30 &amp; CHAR(10) &amp; CHAR(10) &amp; "■■ " &amp; 'الجدول'!K1 &amp; " ■■" &amp; CHAR(10) &amp; "• " &amp; 'الجدول'!K25 &amp; CHAR(10) &amp; "• " &amp; 'الجدول'!K26 &amp; CHAR(10) &amp; "• " &amp; 'الجدول'!K27 &amp; CHAR(10) &amp; "• " &amp; 'الجدول'!K28 &amp; CHAR(10) &amp; "• " &amp; 'الجدول'!K29 &amp; CHAR(10) &amp; "• " &amp; 'الجدول'!K30 &amp; CHAR(10) &amp; CHAR(10) &amp; "■■ " &amp; 'الجدول'!L1 &amp; " ■■" &amp; CHAR(10) &amp; "• " &amp; 'الجدول'!L25 &amp; CHAR(10) &amp; "• " &amp; 'الجدول'!L26 &amp; CHAR(10) &amp; "• " &amp; 'الجدول'!L27 &amp; CHAR(10) &amp; "• " &amp; 'الجدول'!L28 &amp; CHAR(10) &amp; "• " &amp; 'الجدول'!L29 &amp; CHAR(10) &amp; "• " &amp; 'الجدول'!L30 &amp; CHAR(10) &amp; CHAR(10) &amp; "■■ " &amp; 'الجدول'!M1 &amp; " ■■" &amp; CHAR(10) &amp; "• " &amp; 'الجدول'!M25 &amp; CHAR(10) &amp; "• " &amp; 'الجدول'!M26 &amp; CHAR(10) &amp; "• " &amp; 'الجدول'!M27 &amp; CHAR(10) &amp; "• " &amp; 'الجدول'!M28 &amp; CHAR(10) &amp; "• " &amp; 'الجدول'!M29 &amp; CHAR(10) &amp; "• " &amp; 'الجدول'!M30 &amp; CHAR(10) &amp; CHAR(10) &amp; "■■ " &amp; 'الجدول'!N1 &amp; " ■■" &amp; CHAR(10) &amp; "• " &amp; 'الجدول'!N25 &amp; CHAR(10) &amp; "• " &amp; 'الجدول'!N26 &amp; CHAR(10) &amp; "• " &amp; 'الجدول'!N27 &amp; CHAR(10) &amp; "• " &amp; 'الجدول'!N28 &amp; CHAR(10) &amp; "• " &amp; 'الجدول'!N29 &amp; CHAR(10) &amp; "• " &amp; 'الجدول'!N30 &amp; CHAR(10) &amp; CHAR(10) &amp; "■■ " &amp; 'الجدول'!O1 &amp; " ■■" &amp; CHAR(10) &amp; "• " &amp; 'الجدول'!O25 &amp; CHAR(10) &amp; "• " &amp; 'الجدول'!O26 &amp; CHAR(10) &amp; "• " &amp; 'الجدول'!O27 &amp; CHAR(10) &amp; "• " &amp; 'الجدول'!O28 &amp; CHAR(10) &amp; "• " &amp; 'الجدول'!O29 &amp; CHAR(10) &amp; "• " &amp; 'الجدول'!O30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سلمى أبوالعلا
(01124166114)
• رنيم حاتم رفيق بسيسو
(01144758373)
• روان ياسر سليم
(01005005160)
• عبدالمسيح مكرم
(01203267885)
• مينا رومانى عبده
(01212866642)
• هديل نادي محند
(01033032220)
■■ WARD-NIGHT-🌙 ■■
• محمد عمرو محمد عبدالباقي
(01151653320)
• الاء الحداد
(01033882560)
• احمد حسين أحمد
(01001877491)
• Mohamed Ahmed
• ----------
• ----------
</v>
      </c>
      <c r="C5" s="3" t="str">
        <f>HYPERLINK("#الجدول!A" &amp; 24, "الجدول الأساسي")</f>
        <v>الجدول الأساسي</v>
      </c>
    </row>
    <row r="6">
      <c r="A6" s="1" t="s">
        <v>74</v>
      </c>
      <c r="B6" s="5" t="str">
        <f>"" &amp; "■■ " &amp; 'الجدول'!B1 &amp; " ■■" &amp; CHAR(10) &amp; "• " &amp; 'الجدول'!B31 &amp; CHAR(10) &amp; "• " &amp; 'الجدول'!B32 &amp; CHAR(10) &amp; "• " &amp; 'الجدول'!B33 &amp; CHAR(10) &amp; "• " &amp; 'الجدول'!B34 &amp; CHAR(10) &amp; "• " &amp; 'الجدول'!B35 &amp; CHAR(10) &amp; CHAR(10) &amp; "■■ " &amp; 'الجدول'!C1 &amp; " ■■" &amp; CHAR(10) &amp; "• " &amp; 'الجدول'!C31 &amp; CHAR(10) &amp; "• " &amp; 'الجدول'!C32 &amp; CHAR(10) &amp; "• " &amp; 'الجدول'!C33 &amp; CHAR(10) &amp; "• " &amp; 'الجدول'!C34 &amp; CHAR(10) &amp; "• " &amp; 'الجدول'!C35 &amp; CHAR(10) &amp; CHAR(10) &amp; "■■ " &amp; 'الجدول'!D1 &amp; " ■■" &amp; CHAR(10) &amp; "• " &amp; 'الجدول'!D31 &amp; CHAR(10) &amp; "• " &amp; 'الجدول'!D32 &amp; CHAR(10) &amp; "• " &amp; 'الجدول'!D33 &amp; CHAR(10) &amp; "• " &amp; 'الجدول'!D34 &amp; CHAR(10) &amp; "• " &amp; 'الجدول'!D35 &amp; CHAR(10) &amp; CHAR(10) &amp; "■■ " &amp; 'الجدول'!E1 &amp; " ■■" &amp; CHAR(10) &amp; "• " &amp; 'الجدول'!E31 &amp; CHAR(10) &amp; "• " &amp; 'الجدول'!E32 &amp; CHAR(10) &amp; "• " &amp; 'الجدول'!E33 &amp; CHAR(10) &amp; "• " &amp; 'الجدول'!E34 &amp; CHAR(10) &amp; "• " &amp; 'الجدول'!E35 &amp; CHAR(10) &amp; CHAR(10) &amp; "■■ " &amp; 'الجدول'!F1 &amp; " ■■" &amp; CHAR(10) &amp; "• " &amp; 'الجدول'!F31 &amp; CHAR(10) &amp; "• " &amp; 'الجدول'!F32 &amp; CHAR(10) &amp; "• " &amp; 'الجدول'!F33 &amp; CHAR(10) &amp; "• " &amp; 'الجدول'!F34 &amp; CHAR(10) &amp; "• " &amp; 'الجدول'!F35 &amp; CHAR(10) &amp; CHAR(10) &amp; "■■ " &amp; 'الجدول'!G1 &amp; " ■■" &amp; CHAR(10) &amp; "• " &amp; 'الجدول'!G31 &amp; CHAR(10) &amp; "• " &amp; 'الجدول'!G32 &amp; CHAR(10) &amp; "• " &amp; 'الجدول'!G33 &amp; CHAR(10) &amp; "• " &amp; 'الجدول'!G34 &amp; CHAR(10) &amp; "• " &amp; 'الجدول'!G35 &amp; CHAR(10) &amp; CHAR(10) &amp; "■■ " &amp; 'الجدول'!H1 &amp; " ■■" &amp; CHAR(10) &amp; "• " &amp; 'الجدول'!H31 &amp; CHAR(10) &amp; "• " &amp; 'الجدول'!H32 &amp; CHAR(10) &amp; "• " &amp; 'الجدول'!H33 &amp; CHAR(10) &amp; "• " &amp; 'الجدول'!H34 &amp; CHAR(10) &amp; "• " &amp; 'الجدول'!H35 &amp; CHAR(10) &amp; CHAR(10) &amp; "■■ " &amp; 'الجدول'!I1 &amp; " ■■" &amp; CHAR(10) &amp; "• " &amp; 'الجدول'!I31 &amp; CHAR(10) &amp; "• " &amp; 'الجدول'!I32 &amp; CHAR(10) &amp; "• " &amp; 'الجدول'!I33 &amp; CHAR(10) &amp; "• " &amp; 'الجدول'!I34 &amp; CHAR(10) &amp; "• " &amp; 'الجدول'!I35 &amp; CHAR(10) &amp; CHAR(10) &amp; "■■ " &amp; 'الجدول'!J1 &amp; " ■■" &amp; CHAR(10) &amp; "• " &amp; 'الجدول'!J31 &amp; CHAR(10) &amp; "• " &amp; 'الجدول'!J32 &amp; CHAR(10) &amp; "• " &amp; 'الجدول'!J33 &amp; CHAR(10) &amp; "• " &amp; 'الجدول'!J34 &amp; CHAR(10) &amp; "• " &amp; 'الجدول'!J35 &amp; CHAR(10) &amp; CHAR(10) &amp; "■■ " &amp; 'الجدول'!K1 &amp; " ■■" &amp; CHAR(10) &amp; "• " &amp; 'الجدول'!K31 &amp; CHAR(10) &amp; "• " &amp; 'الجدول'!K32 &amp; CHAR(10) &amp; "• " &amp; 'الجدول'!K33 &amp; CHAR(10) &amp; "• " &amp; 'الجدول'!K34 &amp; CHAR(10) &amp; "• " &amp; 'الجدول'!K35 &amp; CHAR(10) &amp; CHAR(10) &amp; "■■ " &amp; 'الجدول'!L1 &amp; " ■■" &amp; CHAR(10) &amp; "• " &amp; 'الجدول'!L31 &amp; CHAR(10) &amp; "• " &amp; 'الجدول'!L32 &amp; CHAR(10) &amp; "• " &amp; 'الجدول'!L33 &amp; CHAR(10) &amp; "• " &amp; 'الجدول'!L34 &amp; CHAR(10) &amp; "• " &amp; 'الجدول'!L35 &amp; CHAR(10) &amp; CHAR(10) &amp; "■■ " &amp; 'الجدول'!M1 &amp; " ■■" &amp; CHAR(10) &amp; "• " &amp; 'الجدول'!M31 &amp; CHAR(10) &amp; "• " &amp; 'الجدول'!M32 &amp; CHAR(10) &amp; "• " &amp; 'الجدول'!M33 &amp; CHAR(10) &amp; "• " &amp; 'الجدول'!M34 &amp; CHAR(10) &amp; "• " &amp; 'الجدول'!M35 &amp; CHAR(10) &amp; CHAR(10) &amp; "■■ " &amp; 'الجدول'!N1 &amp; " ■■" &amp; CHAR(10) &amp; "• " &amp; 'الجدول'!N31 &amp; CHAR(10) &amp; "• " &amp; 'الجدول'!N32 &amp; CHAR(10) &amp; "• " &amp; 'الجدول'!N33 &amp; CHAR(10) &amp; "• " &amp; 'الجدول'!N34 &amp; CHAR(10) &amp; "• " &amp; 'الجدول'!N35 &amp; CHAR(10) &amp; CHAR(10) &amp; "■■ " &amp; 'الجدول'!O1 &amp; " ■■" &amp; CHAR(10) &amp; "• " &amp; 'الجدول'!O31 &amp; CHAR(10) &amp; "• " &amp; 'الجدول'!O32 &amp; CHAR(10) &amp; "• " &amp; 'الجدول'!O33 &amp; CHAR(10) &amp; "• " &amp; 'الجدول'!O34 &amp; CHAR(10) &amp; "• " &amp; 'الجدول'!O35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Ziad said mohamed
(01028577876)
• منه الله هشام السيد
(01002996214)
• عمر حسن محمد حسن حجازي
(01019701020)
• بلال جودة
(01066199644)
• سندس أحمد سيد
(01156131096)
■■ WARD-NIGHT-🌙 ■■
• احمد عزت الشيخ
(01226872660)
• شهاب احمد حلمي
(01055979002)
• Mohamed Ahmed
• ----------
• ----------
</v>
      </c>
      <c r="C6" s="3" t="str">
        <f>HYPERLINK("#الجدول!A" &amp; 30, "الجدول الأساسي")</f>
        <v>الجدول الأساسي</v>
      </c>
    </row>
    <row r="7">
      <c r="A7" s="1" t="s">
        <v>75</v>
      </c>
      <c r="B7" s="5" t="str">
        <f>"" &amp; "■■ " &amp; 'الجدول'!B1 &amp; " ■■" &amp; CHAR(10) &amp; "• " &amp; 'الجدول'!B36 &amp; CHAR(10) &amp; "• " &amp; 'الجدول'!B37 &amp; CHAR(10) &amp; "• " &amp; 'الجدول'!B38 &amp; CHAR(10) &amp; "• " &amp; 'الجدول'!B39 &amp; CHAR(10) &amp; "• " &amp; 'الجدول'!B40 &amp; CHAR(10) &amp; "• " &amp; 'الجدول'!B41 &amp; CHAR(10) &amp; "• " &amp; 'الجدول'!B42 &amp; CHAR(10) &amp; "• " &amp; 'الجدول'!B43 &amp; CHAR(10) &amp; "• " &amp; 'الجدول'!B44 &amp; CHAR(10) &amp; CHAR(10) &amp; "■■ " &amp; 'الجدول'!C1 &amp; " ■■" &amp; CHAR(10) &amp; "• " &amp; 'الجدول'!C36 &amp; CHAR(10) &amp; "• " &amp; 'الجدول'!C37 &amp; CHAR(10) &amp; "• " &amp; 'الجدول'!C38 &amp; CHAR(10) &amp; "• " &amp; 'الجدول'!C39 &amp; CHAR(10) &amp; "• " &amp; 'الجدول'!C40 &amp; CHAR(10) &amp; "• " &amp; 'الجدول'!C41 &amp; CHAR(10) &amp; "• " &amp; 'الجدول'!C42 &amp; CHAR(10) &amp; "• " &amp; 'الجدول'!C43 &amp; CHAR(10) &amp; "• " &amp; 'الجدول'!C44 &amp; CHAR(10) &amp; CHAR(10) &amp; "■■ " &amp; 'الجدول'!D1 &amp; " ■■" &amp; CHAR(10) &amp; "• " &amp; 'الجدول'!D36 &amp; CHAR(10) &amp; "• " &amp; 'الجدول'!D37 &amp; CHAR(10) &amp; "• " &amp; 'الجدول'!D38 &amp; CHAR(10) &amp; "• " &amp; 'الجدول'!D39 &amp; CHAR(10) &amp; "• " &amp; 'الجدول'!D40 &amp; CHAR(10) &amp; "• " &amp; 'الجدول'!D41 &amp; CHAR(10) &amp; "• " &amp; 'الجدول'!D42 &amp; CHAR(10) &amp; "• " &amp; 'الجدول'!D43 &amp; CHAR(10) &amp; "• " &amp; 'الجدول'!D44 &amp; CHAR(10) &amp; CHAR(10) &amp; "■■ " &amp; 'الجدول'!E1 &amp; " ■■" &amp; CHAR(10) &amp; "• " &amp; 'الجدول'!E36 &amp; CHAR(10) &amp; "• " &amp; 'الجدول'!E37 &amp; CHAR(10) &amp; "• " &amp; 'الجدول'!E38 &amp; CHAR(10) &amp; "• " &amp; 'الجدول'!E39 &amp; CHAR(10) &amp; "• " &amp; 'الجدول'!E40 &amp; CHAR(10) &amp; "• " &amp; 'الجدول'!E41 &amp; CHAR(10) &amp; "• " &amp; 'الجدول'!E42 &amp; CHAR(10) &amp; "• " &amp; 'الجدول'!E43 &amp; CHAR(10) &amp; "• " &amp; 'الجدول'!E44 &amp; CHAR(10) &amp; CHAR(10) &amp; "■■ " &amp; 'الجدول'!F1 &amp; " ■■" &amp; CHAR(10) &amp; "• " &amp; 'الجدول'!F36 &amp; CHAR(10) &amp; "• " &amp; 'الجدول'!F37 &amp; CHAR(10) &amp; "• " &amp; 'الجدول'!F38 &amp; CHAR(10) &amp; "• " &amp; 'الجدول'!F39 &amp; CHAR(10) &amp; "• " &amp; 'الجدول'!F40 &amp; CHAR(10) &amp; "• " &amp; 'الجدول'!F41 &amp; CHAR(10) &amp; "• " &amp; 'الجدول'!F42 &amp; CHAR(10) &amp; "• " &amp; 'الجدول'!F43 &amp; CHAR(10) &amp; "• " &amp; 'الجدول'!F44 &amp; CHAR(10) &amp; CHAR(10) &amp; "■■ " &amp; 'الجدول'!G1 &amp; " ■■" &amp; CHAR(10) &amp; "• " &amp; 'الجدول'!G36 &amp; CHAR(10) &amp; "• " &amp; 'الجدول'!G37 &amp; CHAR(10) &amp; "• " &amp; 'الجدول'!G38 &amp; CHAR(10) &amp; "• " &amp; 'الجدول'!G39 &amp; CHAR(10) &amp; "• " &amp; 'الجدول'!G40 &amp; CHAR(10) &amp; "• " &amp; 'الجدول'!G41 &amp; CHAR(10) &amp; "• " &amp; 'الجدول'!G42 &amp; CHAR(10) &amp; "• " &amp; 'الجدول'!G43 &amp; CHAR(10) &amp; "• " &amp; 'الجدول'!G44 &amp; CHAR(10) &amp; CHAR(10) &amp; "■■ " &amp; 'الجدول'!H1 &amp; " ■■" &amp; CHAR(10) &amp; "• " &amp; 'الجدول'!H36 &amp; CHAR(10) &amp; "• " &amp; 'الجدول'!H37 &amp; CHAR(10) &amp; "• " &amp; 'الجدول'!H38 &amp; CHAR(10) &amp; "• " &amp; 'الجدول'!H39 &amp; CHAR(10) &amp; "• " &amp; 'الجدول'!H40 &amp; CHAR(10) &amp; "• " &amp; 'الجدول'!H41 &amp; CHAR(10) &amp; "• " &amp; 'الجدول'!H42 &amp; CHAR(10) &amp; "• " &amp; 'الجدول'!H43 &amp; CHAR(10) &amp; "• " &amp; 'الجدول'!H44 &amp; CHAR(10) &amp; CHAR(10) &amp; "■■ " &amp; 'الجدول'!I1 &amp; " ■■" &amp; CHAR(10) &amp; "• " &amp; 'الجدول'!I36 &amp; CHAR(10) &amp; "• " &amp; 'الجدول'!I37 &amp; CHAR(10) &amp; "• " &amp; 'الجدول'!I38 &amp; CHAR(10) &amp; "• " &amp; 'الجدول'!I39 &amp; CHAR(10) &amp; "• " &amp; 'الجدول'!I40 &amp; CHAR(10) &amp; "• " &amp; 'الجدول'!I41 &amp; CHAR(10) &amp; "• " &amp; 'الجدول'!I42 &amp; CHAR(10) &amp; "• " &amp; 'الجدول'!I43 &amp; CHAR(10) &amp; "• " &amp; 'الجدول'!I44 &amp; CHAR(10) &amp; CHAR(10) &amp; "■■ " &amp; 'الجدول'!J1 &amp; " ■■" &amp; CHAR(10) &amp; "• " &amp; 'الجدول'!J36 &amp; CHAR(10) &amp; "• " &amp; 'الجدول'!J37 &amp; CHAR(10) &amp; "• " &amp; 'الجدول'!J38 &amp; CHAR(10) &amp; "• " &amp; 'الجدول'!J39 &amp; CHAR(10) &amp; "• " &amp; 'الجدول'!J40 &amp; CHAR(10) &amp; "• " &amp; 'الجدول'!J41 &amp; CHAR(10) &amp; "• " &amp; 'الجدول'!J42 &amp; CHAR(10) &amp; "• " &amp; 'الجدول'!J43 &amp; CHAR(10) &amp; "• " &amp; 'الجدول'!J44 &amp; CHAR(10) &amp; CHAR(10) &amp; "■■ " &amp; 'الجدول'!K1 &amp; " ■■" &amp; CHAR(10) &amp; "• " &amp; 'الجدول'!K36 &amp; CHAR(10) &amp; "• " &amp; 'الجدول'!K37 &amp; CHAR(10) &amp; "• " &amp; 'الجدول'!K38 &amp; CHAR(10) &amp; "• " &amp; 'الجدول'!K39 &amp; CHAR(10) &amp; "• " &amp; 'الجدول'!K40 &amp; CHAR(10) &amp; "• " &amp; 'الجدول'!K41 &amp; CHAR(10) &amp; "• " &amp; 'الجدول'!K42 &amp; CHAR(10) &amp; "• " &amp; 'الجدول'!K43 &amp; CHAR(10) &amp; "• " &amp; 'الجدول'!K44 &amp; CHAR(10) &amp; CHAR(10) &amp; "■■ " &amp; 'الجدول'!L1 &amp; " ■■" &amp; CHAR(10) &amp; "• " &amp; 'الجدول'!L36 &amp; CHAR(10) &amp; "• " &amp; 'الجدول'!L37 &amp; CHAR(10) &amp; "• " &amp; 'الجدول'!L38 &amp; CHAR(10) &amp; "• " &amp; 'الجدول'!L39 &amp; CHAR(10) &amp; "• " &amp; 'الجدول'!L40 &amp; CHAR(10) &amp; "• " &amp; 'الجدول'!L41 &amp; CHAR(10) &amp; "• " &amp; 'الجدول'!L42 &amp; CHAR(10) &amp; "• " &amp; 'الجدول'!L43 &amp; CHAR(10) &amp; "• " &amp; 'الجدول'!L44 &amp; CHAR(10) &amp; CHAR(10) &amp; "■■ " &amp; 'الجدول'!M1 &amp; " ■■" &amp; CHAR(10) &amp; "• " &amp; 'الجدول'!M36 &amp; CHAR(10) &amp; "• " &amp; 'الجدول'!M37 &amp; CHAR(10) &amp; "• " &amp; 'الجدول'!M38 &amp; CHAR(10) &amp; "• " &amp; 'الجدول'!M39 &amp; CHAR(10) &amp; "• " &amp; 'الجدول'!M40 &amp; CHAR(10) &amp; "• " &amp; 'الجدول'!M41 &amp; CHAR(10) &amp; "• " &amp; 'الجدول'!M42 &amp; CHAR(10) &amp; "• " &amp; 'الجدول'!M43 &amp; CHAR(10) &amp; "• " &amp; 'الجدول'!M44 &amp; CHAR(10) &amp; CHAR(10) &amp; "■■ " &amp; 'الجدول'!N1 &amp; " ■■" &amp; CHAR(10) &amp; "• " &amp; 'الجدول'!N36 &amp; CHAR(10) &amp; "• " &amp; 'الجدول'!N37 &amp; CHAR(10) &amp; "• " &amp; 'الجدول'!N38 &amp; CHAR(10) &amp; "• " &amp; 'الجدول'!N39 &amp; CHAR(10) &amp; "• " &amp; 'الجدول'!N40 &amp; CHAR(10) &amp; "• " &amp; 'الجدول'!N41 &amp; CHAR(10) &amp; "• " &amp; 'الجدول'!N42 &amp; CHAR(10) &amp; "• " &amp; 'الجدول'!N43 &amp; CHAR(10) &amp; "• " &amp; 'الجدول'!N44 &amp; CHAR(10) &amp; CHAR(10) &amp; "■■ " &amp; 'الجدول'!O1 &amp; " ■■" &amp; CHAR(10) &amp; "• " &amp; 'الجدول'!O36 &amp; CHAR(10) &amp; "• " &amp; 'الجدول'!O37 &amp; CHAR(10) &amp; "• " &amp; 'الجدول'!O38 &amp; CHAR(10) &amp; "• " &amp; 'الجدول'!O39 &amp; CHAR(10) &amp; "• " &amp; 'الجدول'!O40 &amp; CHAR(10) &amp; "• " &amp; 'الجدول'!O41 &amp; CHAR(10) &amp; "• " &amp; 'الجدول'!O42 &amp; CHAR(10) &amp; "• " &amp; 'الجدول'!O43 &amp; CHAR(10) &amp; "• " &amp; 'الجدول'!O44 &amp; CHAR(10) &amp; CHAR(10)</f>
        <v>■■ ER ADMISSION-NIGHT-🚨🌙 ■■
• عمر محمد سيد
(01000688544)
• ----------
• ----------
• ----------
• ----------
• ----------
• ----------
• ----------
• ----------
■■ ER ADMISSIONS -DAY-🚨☀️ ■■
• شيماء رمضان سعد
(01021468731)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• ----------
■■ ER GENERAL-DAY-🚨☀️ ■■
• رنا اكرم احمد
(01122182132)
• رنيم حاتم رفيق بسيسو
(01144758373)
• مها حسين السيد
(01012349071)
• محمد خالد محمد
(01008204601)
• كارين باسم صومائيل
(01274209975)
• Mostafa Ismail
(01022400525)
• هديل هشام منصور الوشاحي
(01227221344)
• سعيد السيد محمد السيد محمد سابق
(01203394950)
• هديل نادي محند
(01033032220)
■■ ER GENERAL-NIGHT-🚨🌙 ■■
• أحمد زيدان
(01110524147)
• شدو محمد شلتوت
(1550336384)
• مي طارق نهاد
(01287477488)
• عمرو وائل سرور
(01023140340)
• الاء الحداد
(01033882560)
• محمد عمرو محمد عبدالباقي
(01151653320)
• احمد ايهاب محمد عواد
(01032298339)
• Rawan Elessawy
(01010983040)
• ----------
■■ ER PT-DAY-🚨☀️ ■■
• مصطفى محمد علي محمد بدر
(01150245681)
• حنان النبوى محمد
(01067888751)
• عمرو عبدالغفار حمزة
(01014246636)
• Youssef elsemary
(01126286820)
• مريم السيد أحمد خيرالله
(01099882992)
• منار عواد عبدالعال عواد
(01001915861)
• أعناب طارق عوض
(01146334179)
• رؤى أحمد عبدالحميد البليهي
(01021284862)
• ----------
■■ ER PT-NIGHT-🚨🌙 ■■
• احمد حسين أحمد
(01001877491)
• بلال جودة
(01066199644)
• عمر حسن محمد حسن حجازي
(01019701020)
• نورهان محمد
(0112 826 8287)
• احمدنوید قیومی
(01104573242)
• مصطفى عبد الراضى صديق
(01226696153)
• منه الله هشام السيد
(01002996214)
• محمد خالد محمد
(01008204601)
• عمر حسن محمد حسن حجازي
(01019701020)
■■ ER TRIAGE-DAY-🚨☀️ ■■
• عبدالمسيح مكرم
(01203267885)
• ----------
• ----------
• ----------
• ----------
• ----------
• ----------
• ----------
• ----------
■■ ER TRIAGE-NIGHT-🚨🌙 ■■
• شيماء رمضان سعد
(01021468731)
• ----------
• ----------
• ----------
• ----------
• ----------
• ----------
• ----------
• ----------
■■ ER WARD-DAY-🚨☀️ ■■
• ملك محمد فؤاد
(01001721072)
• بلال جودة
(01066199644)
• Marwan Ayman
(01149894940)
• أحمد زيدان
(01110524147)
• ريهام سعد عبدالرحمن
(01124867574)
• محمود محمد عبدالرحمن
(01023283048)
• ----------
• ----------
• ----------
■■ ER WARD-NIGHT-🚨🌙 ■■
• محمد  الجمل
(01091463337)
• احمد عزت الشيخ
(01226872660)
• يوسف طه السيد
(01207620695)
• سندس أحمد سيد
(01156131096)
• Mohamed Ahmed
• عبدالله احمد
(01020242571)
• ----------
• ----------
• ----------
■■ 🗡️LISTA ■■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</v>
      </c>
      <c r="C7" s="3" t="str">
        <f>HYPERLINK("#الجدول!A" &amp; 35, "الجدول الأساسي")</f>
        <v>الجدول الأساسي</v>
      </c>
    </row>
    <row r="8">
      <c r="A8" s="1" t="s">
        <v>88</v>
      </c>
      <c r="B8" s="5" t="str">
        <f>"" &amp; "■■ " &amp; 'الجدول'!B1 &amp; " ■■" &amp; CHAR(10) &amp; "• " &amp; 'الجدول'!B45 &amp; CHAR(10) &amp; "• " &amp; 'الجدول'!B46 &amp; CHAR(10) &amp; "• " &amp; 'الجدول'!B47 &amp; CHAR(10) &amp; "• " &amp; 'الجدول'!B48 &amp; CHAR(10) &amp; "• " &amp; 'الجدول'!B49 &amp; CHAR(10) &amp; "• " &amp; 'الجدول'!B50 &amp; CHAR(10) &amp; "• " &amp; 'الجدول'!B51 &amp; CHAR(10) &amp; "• " &amp; 'الجدول'!B52 &amp; CHAR(10) &amp; CHAR(10) &amp; "■■ " &amp; 'الجدول'!C1 &amp; " ■■" &amp; CHAR(10) &amp; "• " &amp; 'الجدول'!C45 &amp; CHAR(10) &amp; "• " &amp; 'الجدول'!C46 &amp; CHAR(10) &amp; "• " &amp; 'الجدول'!C47 &amp; CHAR(10) &amp; "• " &amp; 'الجدول'!C48 &amp; CHAR(10) &amp; "• " &amp; 'الجدول'!C49 &amp; CHAR(10) &amp; "• " &amp; 'الجدول'!C50 &amp; CHAR(10) &amp; "• " &amp; 'الجدول'!C51 &amp; CHAR(10) &amp; "• " &amp; 'الجدول'!C52 &amp; CHAR(10) &amp; CHAR(10) &amp; "■■ " &amp; 'الجدول'!D1 &amp; " ■■" &amp; CHAR(10) &amp; "• " &amp; 'الجدول'!D45 &amp; CHAR(10) &amp; "• " &amp; 'الجدول'!D46 &amp; CHAR(10) &amp; "• " &amp; 'الجدول'!D47 &amp; CHAR(10) &amp; "• " &amp; 'الجدول'!D48 &amp; CHAR(10) &amp; "• " &amp; 'الجدول'!D49 &amp; CHAR(10) &amp; "• " &amp; 'الجدول'!D50 &amp; CHAR(10) &amp; "• " &amp; 'الجدول'!D51 &amp; CHAR(10) &amp; "• " &amp; 'الجدول'!D52 &amp; CHAR(10) &amp; CHAR(10) &amp; "■■ " &amp; 'الجدول'!E1 &amp; " ■■" &amp; CHAR(10) &amp; "• " &amp; 'الجدول'!E45 &amp; CHAR(10) &amp; "• " &amp; 'الجدول'!E46 &amp; CHAR(10) &amp; "• " &amp; 'الجدول'!E47 &amp; CHAR(10) &amp; "• " &amp; 'الجدول'!E48 &amp; CHAR(10) &amp; "• " &amp; 'الجدول'!E49 &amp; CHAR(10) &amp; "• " &amp; 'الجدول'!E50 &amp; CHAR(10) &amp; "• " &amp; 'الجدول'!E51 &amp; CHAR(10) &amp; "• " &amp; 'الجدول'!E52 &amp; CHAR(10) &amp; CHAR(10) &amp; "■■ " &amp; 'الجدول'!F1 &amp; " ■■" &amp; CHAR(10) &amp; "• " &amp; 'الجدول'!F45 &amp; CHAR(10) &amp; "• " &amp; 'الجدول'!F46 &amp; CHAR(10) &amp; "• " &amp; 'الجدول'!F47 &amp; CHAR(10) &amp; "• " &amp; 'الجدول'!F48 &amp; CHAR(10) &amp; "• " &amp; 'الجدول'!F49 &amp; CHAR(10) &amp; "• " &amp; 'الجدول'!F50 &amp; CHAR(10) &amp; "• " &amp; 'الجدول'!F51 &amp; CHAR(10) &amp; "• " &amp; 'الجدول'!F52 &amp; CHAR(10) &amp; CHAR(10) &amp; "■■ " &amp; 'الجدول'!G1 &amp; " ■■" &amp; CHAR(10) &amp; "• " &amp; 'الجدول'!G45 &amp; CHAR(10) &amp; "• " &amp; 'الجدول'!G46 &amp; CHAR(10) &amp; "• " &amp; 'الجدول'!G47 &amp; CHAR(10) &amp; "• " &amp; 'الجدول'!G48 &amp; CHAR(10) &amp; "• " &amp; 'الجدول'!G49 &amp; CHAR(10) &amp; "• " &amp; 'الجدول'!G50 &amp; CHAR(10) &amp; "• " &amp; 'الجدول'!G51 &amp; CHAR(10) &amp; "• " &amp; 'الجدول'!G52 &amp; CHAR(10) &amp; CHAR(10) &amp; "■■ " &amp; 'الجدول'!H1 &amp; " ■■" &amp; CHAR(10) &amp; "• " &amp; 'الجدول'!H45 &amp; CHAR(10) &amp; "• " &amp; 'الجدول'!H46 &amp; CHAR(10) &amp; "• " &amp; 'الجدول'!H47 &amp; CHAR(10) &amp; "• " &amp; 'الجدول'!H48 &amp; CHAR(10) &amp; "• " &amp; 'الجدول'!H49 &amp; CHAR(10) &amp; "• " &amp; 'الجدول'!H50 &amp; CHAR(10) &amp; "• " &amp; 'الجدول'!H51 &amp; CHAR(10) &amp; "• " &amp; 'الجدول'!H52 &amp; CHAR(10) &amp; CHAR(10) &amp; "■■ " &amp; 'الجدول'!I1 &amp; " ■■" &amp; CHAR(10) &amp; "• " &amp; 'الجدول'!I45 &amp; CHAR(10) &amp; "• " &amp; 'الجدول'!I46 &amp; CHAR(10) &amp; "• " &amp; 'الجدول'!I47 &amp; CHAR(10) &amp; "• " &amp; 'الجدول'!I48 &amp; CHAR(10) &amp; "• " &amp; 'الجدول'!I49 &amp; CHAR(10) &amp; "• " &amp; 'الجدول'!I50 &amp; CHAR(10) &amp; "• " &amp; 'الجدول'!I51 &amp; CHAR(10) &amp; "• " &amp; 'الجدول'!I52 &amp; CHAR(10) &amp; CHAR(10) &amp; "■■ " &amp; 'الجدول'!J1 &amp; " ■■" &amp; CHAR(10) &amp; "• " &amp; 'الجدول'!J45 &amp; CHAR(10) &amp; "• " &amp; 'الجدول'!J46 &amp; CHAR(10) &amp; "• " &amp; 'الجدول'!J47 &amp; CHAR(10) &amp; "• " &amp; 'الجدول'!J48 &amp; CHAR(10) &amp; "• " &amp; 'الجدول'!J49 &amp; CHAR(10) &amp; "• " &amp; 'الجدول'!J50 &amp; CHAR(10) &amp; "• " &amp; 'الجدول'!J51 &amp; CHAR(10) &amp; "• " &amp; 'الجدول'!J52 &amp; CHAR(10) &amp; CHAR(10) &amp; "■■ " &amp; 'الجدول'!K1 &amp; " ■■" &amp; CHAR(10) &amp; "• " &amp; 'الجدول'!K45 &amp; CHAR(10) &amp; "• " &amp; 'الجدول'!K46 &amp; CHAR(10) &amp; "• " &amp; 'الجدول'!K47 &amp; CHAR(10) &amp; "• " &amp; 'الجدول'!K48 &amp; CHAR(10) &amp; "• " &amp; 'الجدول'!K49 &amp; CHAR(10) &amp; "• " &amp; 'الجدول'!K50 &amp; CHAR(10) &amp; "• " &amp; 'الجدول'!K51 &amp; CHAR(10) &amp; "• " &amp; 'الجدول'!K52 &amp; CHAR(10) &amp; CHAR(10) &amp; "■■ " &amp; 'الجدول'!L1 &amp; " ■■" &amp; CHAR(10) &amp; "• " &amp; 'الجدول'!L45 &amp; CHAR(10) &amp; "• " &amp; 'الجدول'!L46 &amp; CHAR(10) &amp; "• " &amp; 'الجدول'!L47 &amp; CHAR(10) &amp; "• " &amp; 'الجدول'!L48 &amp; CHAR(10) &amp; "• " &amp; 'الجدول'!L49 &amp; CHAR(10) &amp; "• " &amp; 'الجدول'!L50 &amp; CHAR(10) &amp; "• " &amp; 'الجدول'!L51 &amp; CHAR(10) &amp; "• " &amp; 'الجدول'!L52 &amp; CHAR(10) &amp; CHAR(10) &amp; "■■ " &amp; 'الجدول'!M1 &amp; " ■■" &amp; CHAR(10) &amp; "• " &amp; 'الجدول'!M45 &amp; CHAR(10) &amp; "• " &amp; 'الجدول'!M46 &amp; CHAR(10) &amp; "• " &amp; 'الجدول'!M47 &amp; CHAR(10) &amp; "• " &amp; 'الجدول'!M48 &amp; CHAR(10) &amp; "• " &amp; 'الجدول'!M49 &amp; CHAR(10) &amp; "• " &amp; 'الجدول'!M50 &amp; CHAR(10) &amp; "• " &amp; 'الجدول'!M51 &amp; CHAR(10) &amp; "• " &amp; 'الجدول'!M52 &amp; CHAR(10) &amp; CHAR(10) &amp; "■■ " &amp; 'الجدول'!N1 &amp; " ■■" &amp; CHAR(10) &amp; "• " &amp; 'الجدول'!N45 &amp; CHAR(10) &amp; "• " &amp; 'الجدول'!N46 &amp; CHAR(10) &amp; "• " &amp; 'الجدول'!N47 &amp; CHAR(10) &amp; "• " &amp; 'الجدول'!N48 &amp; CHAR(10) &amp; "• " &amp; 'الجدول'!N49 &amp; CHAR(10) &amp; "• " &amp; 'الجدول'!N50 &amp; CHAR(10) &amp; "• " &amp; 'الجدول'!N51 &amp; CHAR(10) &amp; "• " &amp; 'الجدول'!N52 &amp; CHAR(10) &amp; CHAR(10) &amp; "■■ " &amp; 'الجدول'!O1 &amp; " ■■" &amp; CHAR(10) &amp; "• " &amp; 'الجدول'!O45 &amp; CHAR(10) &amp; "• " &amp; 'الجدول'!O46 &amp; CHAR(10) &amp; "• " &amp; 'الجدول'!O47 &amp; CHAR(10) &amp; "• " &amp; 'الجدول'!O48 &amp; CHAR(10) &amp; "• " &amp; 'الجدول'!O49 &amp; CHAR(10) &amp; "• " &amp; 'الجدول'!O50 &amp; CHAR(10) &amp; "• " &amp; 'الجدول'!O51 &amp; CHAR(10) &amp; "• " &amp; 'الجدول'!O52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محمد عمرو محمد عبدالباقي
(01151653320)
• سلمى أبوالعلا
(01124166114)
• يوسف طه السيد
(01207620695)
• ----------
• ----------
• ----------
• ----------
• ----------
■■ WARD-DAY-☀️ ■■
• منار عواد عبدالعال عواد
(01001915861)
• رؤى أحمد عبدالحميد البليهي
(01021284862)
• شيماء رمضان سعد
(01021468731)
• رنا اكرم احمد
(01122182132)
• احمد حسين أحمد
(01001877491)
• سعيد السيد محمد السيد محمد سابق
(01203394950)
• محمد خالد محمد
(01008204601)
• هديل نادي محند
(01033032220)
■■ WARD-NIGHT-🌙 ■■
• احمد ايهاب محمد عواد
(01032298339)
• ملك محمد فؤاد
(01001721072)
• احمد ناصر
(01553479200)
• شدو محمد شلتوت
(1550336384)
• عمر محمد سيد
(01000688544)
• ----------
• ----------
• ----------
</v>
      </c>
      <c r="C8" s="3" t="str">
        <f>HYPERLINK("#الجدول!A" &amp; 44, "الجدول الأساسي")</f>
        <v>الجدول الأساسي</v>
      </c>
    </row>
    <row r="9">
      <c r="A9" s="1" t="s">
        <v>89</v>
      </c>
      <c r="B9" s="5" t="str">
        <f>"" &amp; "■■ " &amp; 'الجدول'!B1 &amp; " ■■" &amp; CHAR(10) &amp; "• " &amp; 'الجدول'!B53 &amp; CHAR(10) &amp; "• " &amp; 'الجدول'!B54 &amp; CHAR(10) &amp; "• " &amp; 'الجدول'!B55 &amp; CHAR(10) &amp; "• " &amp; 'الجدول'!B56 &amp; CHAR(10) &amp; "• " &amp; 'الجدول'!B57 &amp; CHAR(10) &amp; "• " &amp; 'الجدول'!B58 &amp; CHAR(10) &amp; "• " &amp; 'الجدول'!B59 &amp; CHAR(10) &amp; "• " &amp; 'الجدول'!B60 &amp; CHAR(10) &amp; "• " &amp; 'الجدول'!B61 &amp; CHAR(10) &amp; CHAR(10) &amp; "■■ " &amp; 'الجدول'!C1 &amp; " ■■" &amp; CHAR(10) &amp; "• " &amp; 'الجدول'!C53 &amp; CHAR(10) &amp; "• " &amp; 'الجدول'!C54 &amp; CHAR(10) &amp; "• " &amp; 'الجدول'!C55 &amp; CHAR(10) &amp; "• " &amp; 'الجدول'!C56 &amp; CHAR(10) &amp; "• " &amp; 'الجدول'!C57 &amp; CHAR(10) &amp; "• " &amp; 'الجدول'!C58 &amp; CHAR(10) &amp; "• " &amp; 'الجدول'!C59 &amp; CHAR(10) &amp; "• " &amp; 'الجدول'!C60 &amp; CHAR(10) &amp; "• " &amp; 'الجدول'!C61 &amp; CHAR(10) &amp; CHAR(10) &amp; "■■ " &amp; 'الجدول'!D1 &amp; " ■■" &amp; CHAR(10) &amp; "• " &amp; 'الجدول'!D53 &amp; CHAR(10) &amp; "• " &amp; 'الجدول'!D54 &amp; CHAR(10) &amp; "• " &amp; 'الجدول'!D55 &amp; CHAR(10) &amp; "• " &amp; 'الجدول'!D56 &amp; CHAR(10) &amp; "• " &amp; 'الجدول'!D57 &amp; CHAR(10) &amp; "• " &amp; 'الجدول'!D58 &amp; CHAR(10) &amp; "• " &amp; 'الجدول'!D59 &amp; CHAR(10) &amp; "• " &amp; 'الجدول'!D60 &amp; CHAR(10) &amp; "• " &amp; 'الجدول'!D61 &amp; CHAR(10) &amp; CHAR(10) &amp; "■■ " &amp; 'الجدول'!E1 &amp; " ■■" &amp; CHAR(10) &amp; "• " &amp; 'الجدول'!E53 &amp; CHAR(10) &amp; "• " &amp; 'الجدول'!E54 &amp; CHAR(10) &amp; "• " &amp; 'الجدول'!E55 &amp; CHAR(10) &amp; "• " &amp; 'الجدول'!E56 &amp; CHAR(10) &amp; "• " &amp; 'الجدول'!E57 &amp; CHAR(10) &amp; "• " &amp; 'الجدول'!E58 &amp; CHAR(10) &amp; "• " &amp; 'الجدول'!E59 &amp; CHAR(10) &amp; "• " &amp; 'الجدول'!E60 &amp; CHAR(10) &amp; "• " &amp; 'الجدول'!E61 &amp; CHAR(10) &amp; CHAR(10) &amp; "■■ " &amp; 'الجدول'!F1 &amp; " ■■" &amp; CHAR(10) &amp; "• " &amp; 'الجدول'!F53 &amp; CHAR(10) &amp; "• " &amp; 'الجدول'!F54 &amp; CHAR(10) &amp; "• " &amp; 'الجدول'!F55 &amp; CHAR(10) &amp; "• " &amp; 'الجدول'!F56 &amp; CHAR(10) &amp; "• " &amp; 'الجدول'!F57 &amp; CHAR(10) &amp; "• " &amp; 'الجدول'!F58 &amp; CHAR(10) &amp; "• " &amp; 'الجدول'!F59 &amp; CHAR(10) &amp; "• " &amp; 'الجدول'!F60 &amp; CHAR(10) &amp; "• " &amp; 'الجدول'!F61 &amp; CHAR(10) &amp; CHAR(10) &amp; "■■ " &amp; 'الجدول'!G1 &amp; " ■■" &amp; CHAR(10) &amp; "• " &amp; 'الجدول'!G53 &amp; CHAR(10) &amp; "• " &amp; 'الجدول'!G54 &amp; CHAR(10) &amp; "• " &amp; 'الجدول'!G55 &amp; CHAR(10) &amp; "• " &amp; 'الجدول'!G56 &amp; CHAR(10) &amp; "• " &amp; 'الجدول'!G57 &amp; CHAR(10) &amp; "• " &amp; 'الجدول'!G58 &amp; CHAR(10) &amp; "• " &amp; 'الجدول'!G59 &amp; CHAR(10) &amp; "• " &amp; 'الجدول'!G60 &amp; CHAR(10) &amp; "• " &amp; 'الجدول'!G61 &amp; CHAR(10) &amp; CHAR(10) &amp; "■■ " &amp; 'الجدول'!H1 &amp; " ■■" &amp; CHAR(10) &amp; "• " &amp; 'الجدول'!H53 &amp; CHAR(10) &amp; "• " &amp; 'الجدول'!H54 &amp; CHAR(10) &amp; "• " &amp; 'الجدول'!H55 &amp; CHAR(10) &amp; "• " &amp; 'الجدول'!H56 &amp; CHAR(10) &amp; "• " &amp; 'الجدول'!H57 &amp; CHAR(10) &amp; "• " &amp; 'الجدول'!H58 &amp; CHAR(10) &amp; "• " &amp; 'الجدول'!H59 &amp; CHAR(10) &amp; "• " &amp; 'الجدول'!H60 &amp; CHAR(10) &amp; "• " &amp; 'الجدول'!H61 &amp; CHAR(10) &amp; CHAR(10) &amp; "■■ " &amp; 'الجدول'!I1 &amp; " ■■" &amp; CHAR(10) &amp; "• " &amp; 'الجدول'!I53 &amp; CHAR(10) &amp; "• " &amp; 'الجدول'!I54 &amp; CHAR(10) &amp; "• " &amp; 'الجدول'!I55 &amp; CHAR(10) &amp; "• " &amp; 'الجدول'!I56 &amp; CHAR(10) &amp; "• " &amp; 'الجدول'!I57 &amp; CHAR(10) &amp; "• " &amp; 'الجدول'!I58 &amp; CHAR(10) &amp; "• " &amp; 'الجدول'!I59 &amp; CHAR(10) &amp; "• " &amp; 'الجدول'!I60 &amp; CHAR(10) &amp; "• " &amp; 'الجدول'!I61 &amp; CHAR(10) &amp; CHAR(10) &amp; "■■ " &amp; 'الجدول'!J1 &amp; " ■■" &amp; CHAR(10) &amp; "• " &amp; 'الجدول'!J53 &amp; CHAR(10) &amp; "• " &amp; 'الجدول'!J54 &amp; CHAR(10) &amp; "• " &amp; 'الجدول'!J55 &amp; CHAR(10) &amp; "• " &amp; 'الجدول'!J56 &amp; CHAR(10) &amp; "• " &amp; 'الجدول'!J57 &amp; CHAR(10) &amp; "• " &amp; 'الجدول'!J58 &amp; CHAR(10) &amp; "• " &amp; 'الجدول'!J59 &amp; CHAR(10) &amp; "• " &amp; 'الجدول'!J60 &amp; CHAR(10) &amp; "• " &amp; 'الجدول'!J61 &amp; CHAR(10) &amp; CHAR(10) &amp; "■■ " &amp; 'الجدول'!K1 &amp; " ■■" &amp; CHAR(10) &amp; "• " &amp; 'الجدول'!K53 &amp; CHAR(10) &amp; "• " &amp; 'الجدول'!K54 &amp; CHAR(10) &amp; "• " &amp; 'الجدول'!K55 &amp; CHAR(10) &amp; "• " &amp; 'الجدول'!K56 &amp; CHAR(10) &amp; "• " &amp; 'الجدول'!K57 &amp; CHAR(10) &amp; "• " &amp; 'الجدول'!K58 &amp; CHAR(10) &amp; "• " &amp; 'الجدول'!K59 &amp; CHAR(10) &amp; "• " &amp; 'الجدول'!K60 &amp; CHAR(10) &amp; "• " &amp; 'الجدول'!K61 &amp; CHAR(10) &amp; CHAR(10) &amp; "■■ " &amp; 'الجدول'!L1 &amp; " ■■" &amp; CHAR(10) &amp; "• " &amp; 'الجدول'!L53 &amp; CHAR(10) &amp; "• " &amp; 'الجدول'!L54 &amp; CHAR(10) &amp; "• " &amp; 'الجدول'!L55 &amp; CHAR(10) &amp; "• " &amp; 'الجدول'!L56 &amp; CHAR(10) &amp; "• " &amp; 'الجدول'!L57 &amp; CHAR(10) &amp; "• " &amp; 'الجدول'!L58 &amp; CHAR(10) &amp; "• " &amp; 'الجدول'!L59 &amp; CHAR(10) &amp; "• " &amp; 'الجدول'!L60 &amp; CHAR(10) &amp; "• " &amp; 'الجدول'!L61 &amp; CHAR(10) &amp; CHAR(10) &amp; "■■ " &amp; 'الجدول'!M1 &amp; " ■■" &amp; CHAR(10) &amp; "• " &amp; 'الجدول'!M53 &amp; CHAR(10) &amp; "• " &amp; 'الجدول'!M54 &amp; CHAR(10) &amp; "• " &amp; 'الجدول'!M55 &amp; CHAR(10) &amp; "• " &amp; 'الجدول'!M56 &amp; CHAR(10) &amp; "• " &amp; 'الجدول'!M57 &amp; CHAR(10) &amp; "• " &amp; 'الجدول'!M58 &amp; CHAR(10) &amp; "• " &amp; 'الجدول'!M59 &amp; CHAR(10) &amp; "• " &amp; 'الجدول'!M60 &amp; CHAR(10) &amp; "• " &amp; 'الجدول'!M61 &amp; CHAR(10) &amp; CHAR(10) &amp; "■■ " &amp; 'الجدول'!N1 &amp; " ■■" &amp; CHAR(10) &amp; "• " &amp; 'الجدول'!N53 &amp; CHAR(10) &amp; "• " &amp; 'الجدول'!N54 &amp; CHAR(10) &amp; "• " &amp; 'الجدول'!N55 &amp; CHAR(10) &amp; "• " &amp; 'الجدول'!N56 &amp; CHAR(10) &amp; "• " &amp; 'الجدول'!N57 &amp; CHAR(10) &amp; "• " &amp; 'الجدول'!N58 &amp; CHAR(10) &amp; "• " &amp; 'الجدول'!N59 &amp; CHAR(10) &amp; "• " &amp; 'الجدول'!N60 &amp; CHAR(10) &amp; "• " &amp; 'الجدول'!N61 &amp; CHAR(10) &amp; CHAR(10) &amp; "■■ " &amp; 'الجدول'!O1 &amp; " ■■" &amp; CHAR(10) &amp; "• " &amp; 'الجدول'!O53 &amp; CHAR(10) &amp; "• " &amp; 'الجدول'!O54 &amp; CHAR(10) &amp; "• " &amp; 'الجدول'!O55 &amp; CHAR(10) &amp; "• " &amp; 'الجدول'!O56 &amp; CHAR(10) &amp; "• " &amp; 'الجدول'!O57 &amp; CHAR(10) &amp; "• " &amp; 'الجدول'!O58 &amp; CHAR(10) &amp; "• " &amp; 'الجدول'!O59 &amp; CHAR(10) &amp; "• " &amp; 'الجدول'!O60 &amp; CHAR(10) &amp; "• " &amp; 'الجدول'!O61 &amp; CHAR(10) &amp; CHAR(10)</f>
        <v>■■ ER ADMISSION-NIGHT-🚨🌙 ■■
• حنان النبوى محمد
(01067888751)
• ----------
• ----------
• ----------
• ----------
• ----------
• ----------
• ----------
• ----------
■■ ER ADMISSIONS -DAY-🚨☀️ ■■
• عمر محمد سيد
(01000688544)
• ----------
• ----------
• ----------
• ----------
• ----------
• ----------
• ----------
• ----------
■■ ER-clinic Day ☀️🚨 ■■
• سلمى أبوالعلا
(01124166114)
• ----------
• ----------
• ----------
• ----------
• ----------
• ----------
• ----------
• ----------
■■ ER GENERAL-DAY-🚨☀️ ■■
• هديل نادي محند
(01033032220)
• محمود عبد المحسن إبراهيم
(01062086612)
• دانه طارق
(01012809042)
• بلال أحمد
(01066883767)
• أحمد رجب محمد
(01273127265)
• روان ياسر سليم
(01005005160)
• استيفن مدحت منير
(01200226122)
• احمد حسام الدين صلاح
(01065567736)
• Rawan Elessawy
(01010983040)
■■ ER GENERAL-NIGHT-🚨🌙 ■■
• يوسف عاطف رزق الله
(01148183647)
• محمد محمود ابراهيم
(01112057358)
• زينة أشرف حسين
(01067196820)
• سعيد السيد محمد السيد محمد سابق
(01203394950)
• مي طارق نهاد
(01287477488)
• محمد عمرو محمد عبدالباقي
(01151653320)
• احمدنوید قیومی
(01104573242)
• الاء الحداد
(01033882560)
• ----------
■■ ER PT-DAY-🚨☀️ ■■
• منار احمد سعيد
(01092708033)
• مصطفى محمد علي محمد بدر
(01150245681)
• مي خالد ابوزيد
(01023578224)
• مينا رومانى عبده
(01212866642)
• Youssef elsemary
(01126286820)
• رؤى أحمد عبدالحميد البليهي
(01021284862)
• Mohamed Ahmed
• محمود محمد عبدالرحمن
(01023283048)
• ----------
■■ ER PT-NIGHT-🚨🌙 ■■
• يوسف طه السيد
(01207620695)
• Ziad said mohamed
(01028577876)
• شهاب احمد حلمي
(01055979002)
• عمرو وائل سرور
(01023140340)
• احمد حسين أحمد
(01001877491)
• منه الله هشام السيد
(01002996214)
• نورهان محمد
(0112 826 8287)
• عبدالمسيح مكرم
(01203267885)
• كارين روماني راشد
(01102663062)
■■ ER TRIAGE-DAY-🚨☀️ ■■
• مريم السيد أحمد خيرالله
(01099882992)
• ----------
• ----------
• ----------
• ----------
• ----------
• ----------
• ----------
• ----------
■■ ER TRIAGE-NIGHT-🚨🌙 ■■
• احمد ايهاب محمد عواد
(01032298339)
• ----------
• ----------
• ----------
• ----------
• ----------
• ----------
• ----------
• ----------
■■ ER WARD-DAY-🚨☀️ ■■
• أعناب طارق عوض
(01146334179)
• منار عواد عبدالعال عواد
(01001915861)
• مها حسين السيد
(01012349071)
• منة السيد عبد الباقي
(01274588193)
• احمد ناصر
(01553479200)
• Mostafa Ismail
(01022400525)
• ----------
• ----------
• ----------
■■ ER WARD-NIGHT-🚨🌙 ■■
• محمد  الجمل
(01091463337)
• عبدالله احمد
(01020242571)
• احمد عزت الشيخ
(01226872660)
• تقى عماد حسني
(01119716276)
• Marwan Ayman
(01149894940)
• ريهام سعد عبدالرحمن
(01124867574)
• ----------
• ----------
• ----------
■■ 🗡️LISTA ■■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</v>
      </c>
      <c r="C9" s="3" t="str">
        <f>HYPERLINK("#الجدول!A" &amp; 52, "الجدول الأساسي")</f>
        <v>الجدول الأساسي</v>
      </c>
    </row>
    <row r="10">
      <c r="A10" s="1" t="s">
        <v>90</v>
      </c>
      <c r="B10" s="5" t="str">
        <f>"" &amp; "■■ " &amp; 'الجدول'!B1 &amp; " ■■" &amp; CHAR(10) &amp; "• " &amp; 'الجدول'!B62 &amp; CHAR(10) &amp; "• " &amp; 'الجدول'!B63 &amp; CHAR(10) &amp; "• " &amp; 'الجدول'!B64 &amp; CHAR(10) &amp; "• " &amp; 'الجدول'!B65 &amp; CHAR(10) &amp; "• " &amp; 'الجدول'!B66 &amp; CHAR(10) &amp; "• " &amp; 'الجدول'!B67 &amp; CHAR(10) &amp; "• " &amp; 'الجدول'!B68 &amp; CHAR(10) &amp; "• " &amp; 'الجدول'!B69 &amp; CHAR(10) &amp; CHAR(10) &amp; "■■ " &amp; 'الجدول'!C1 &amp; " ■■" &amp; CHAR(10) &amp; "• " &amp; 'الجدول'!C62 &amp; CHAR(10) &amp; "• " &amp; 'الجدول'!C63 &amp; CHAR(10) &amp; "• " &amp; 'الجدول'!C64 &amp; CHAR(10) &amp; "• " &amp; 'الجدول'!C65 &amp; CHAR(10) &amp; "• " &amp; 'الجدول'!C66 &amp; CHAR(10) &amp; "• " &amp; 'الجدول'!C67 &amp; CHAR(10) &amp; "• " &amp; 'الجدول'!C68 &amp; CHAR(10) &amp; "• " &amp; 'الجدول'!C69 &amp; CHAR(10) &amp; CHAR(10) &amp; "■■ " &amp; 'الجدول'!D1 &amp; " ■■" &amp; CHAR(10) &amp; "• " &amp; 'الجدول'!D62 &amp; CHAR(10) &amp; "• " &amp; 'الجدول'!D63 &amp; CHAR(10) &amp; "• " &amp; 'الجدول'!D64 &amp; CHAR(10) &amp; "• " &amp; 'الجدول'!D65 &amp; CHAR(10) &amp; "• " &amp; 'الجدول'!D66 &amp; CHAR(10) &amp; "• " &amp; 'الجدول'!D67 &amp; CHAR(10) &amp; "• " &amp; 'الجدول'!D68 &amp; CHAR(10) &amp; "• " &amp; 'الجدول'!D69 &amp; CHAR(10) &amp; CHAR(10) &amp; "■■ " &amp; 'الجدول'!E1 &amp; " ■■" &amp; CHAR(10) &amp; "• " &amp; 'الجدول'!E62 &amp; CHAR(10) &amp; "• " &amp; 'الجدول'!E63 &amp; CHAR(10) &amp; "• " &amp; 'الجدول'!E64 &amp; CHAR(10) &amp; "• " &amp; 'الجدول'!E65 &amp; CHAR(10) &amp; "• " &amp; 'الجدول'!E66 &amp; CHAR(10) &amp; "• " &amp; 'الجدول'!E67 &amp; CHAR(10) &amp; "• " &amp; 'الجدول'!E68 &amp; CHAR(10) &amp; "• " &amp; 'الجدول'!E69 &amp; CHAR(10) &amp; CHAR(10) &amp; "■■ " &amp; 'الجدول'!F1 &amp; " ■■" &amp; CHAR(10) &amp; "• " &amp; 'الجدول'!F62 &amp; CHAR(10) &amp; "• " &amp; 'الجدول'!F63 &amp; CHAR(10) &amp; "• " &amp; 'الجدول'!F64 &amp; CHAR(10) &amp; "• " &amp; 'الجدول'!F65 &amp; CHAR(10) &amp; "• " &amp; 'الجدول'!F66 &amp; CHAR(10) &amp; "• " &amp; 'الجدول'!F67 &amp; CHAR(10) &amp; "• " &amp; 'الجدول'!F68 &amp; CHAR(10) &amp; "• " &amp; 'الجدول'!F69 &amp; CHAR(10) &amp; CHAR(10) &amp; "■■ " &amp; 'الجدول'!G1 &amp; " ■■" &amp; CHAR(10) &amp; "• " &amp; 'الجدول'!G62 &amp; CHAR(10) &amp; "• " &amp; 'الجدول'!G63 &amp; CHAR(10) &amp; "• " &amp; 'الجدول'!G64 &amp; CHAR(10) &amp; "• " &amp; 'الجدول'!G65 &amp; CHAR(10) &amp; "• " &amp; 'الجدول'!G66 &amp; CHAR(10) &amp; "• " &amp; 'الجدول'!G67 &amp; CHAR(10) &amp; "• " &amp; 'الجدول'!G68 &amp; CHAR(10) &amp; "• " &amp; 'الجدول'!G69 &amp; CHAR(10) &amp; CHAR(10) &amp; "■■ " &amp; 'الجدول'!H1 &amp; " ■■" &amp; CHAR(10) &amp; "• " &amp; 'الجدول'!H62 &amp; CHAR(10) &amp; "• " &amp; 'الجدول'!H63 &amp; CHAR(10) &amp; "• " &amp; 'الجدول'!H64 &amp; CHAR(10) &amp; "• " &amp; 'الجدول'!H65 &amp; CHAR(10) &amp; "• " &amp; 'الجدول'!H66 &amp; CHAR(10) &amp; "• " &amp; 'الجدول'!H67 &amp; CHAR(10) &amp; "• " &amp; 'الجدول'!H68 &amp; CHAR(10) &amp; "• " &amp; 'الجدول'!H69 &amp; CHAR(10) &amp; CHAR(10) &amp; "■■ " &amp; 'الجدول'!I1 &amp; " ■■" &amp; CHAR(10) &amp; "• " &amp; 'الجدول'!I62 &amp; CHAR(10) &amp; "• " &amp; 'الجدول'!I63 &amp; CHAR(10) &amp; "• " &amp; 'الجدول'!I64 &amp; CHAR(10) &amp; "• " &amp; 'الجدول'!I65 &amp; CHAR(10) &amp; "• " &amp; 'الجدول'!I66 &amp; CHAR(10) &amp; "• " &amp; 'الجدول'!I67 &amp; CHAR(10) &amp; "• " &amp; 'الجدول'!I68 &amp; CHAR(10) &amp; "• " &amp; 'الجدول'!I69 &amp; CHAR(10) &amp; CHAR(10) &amp; "■■ " &amp; 'الجدول'!J1 &amp; " ■■" &amp; CHAR(10) &amp; "• " &amp; 'الجدول'!J62 &amp; CHAR(10) &amp; "• " &amp; 'الجدول'!J63 &amp; CHAR(10) &amp; "• " &amp; 'الجدول'!J64 &amp; CHAR(10) &amp; "• " &amp; 'الجدول'!J65 &amp; CHAR(10) &amp; "• " &amp; 'الجدول'!J66 &amp; CHAR(10) &amp; "• " &amp; 'الجدول'!J67 &amp; CHAR(10) &amp; "• " &amp; 'الجدول'!J68 &amp; CHAR(10) &amp; "• " &amp; 'الجدول'!J69 &amp; CHAR(10) &amp; CHAR(10) &amp; "■■ " &amp; 'الجدول'!K1 &amp; " ■■" &amp; CHAR(10) &amp; "• " &amp; 'الجدول'!K62 &amp; CHAR(10) &amp; "• " &amp; 'الجدول'!K63 &amp; CHAR(10) &amp; "• " &amp; 'الجدول'!K64 &amp; CHAR(10) &amp; "• " &amp; 'الجدول'!K65 &amp; CHAR(10) &amp; "• " &amp; 'الجدول'!K66 &amp; CHAR(10) &amp; "• " &amp; 'الجدول'!K67 &amp; CHAR(10) &amp; "• " &amp; 'الجدول'!K68 &amp; CHAR(10) &amp; "• " &amp; 'الجدول'!K69 &amp; CHAR(10) &amp; CHAR(10) &amp; "■■ " &amp; 'الجدول'!L1 &amp; " ■■" &amp; CHAR(10) &amp; "• " &amp; 'الجدول'!L62 &amp; CHAR(10) &amp; "• " &amp; 'الجدول'!L63 &amp; CHAR(10) &amp; "• " &amp; 'الجدول'!L64 &amp; CHAR(10) &amp; "• " &amp; 'الجدول'!L65 &amp; CHAR(10) &amp; "• " &amp; 'الجدول'!L66 &amp; CHAR(10) &amp; "• " &amp; 'الجدول'!L67 &amp; CHAR(10) &amp; "• " &amp; 'الجدول'!L68 &amp; CHAR(10) &amp; "• " &amp; 'الجدول'!L69 &amp; CHAR(10) &amp; CHAR(10) &amp; "■■ " &amp; 'الجدول'!M1 &amp; " ■■" &amp; CHAR(10) &amp; "• " &amp; 'الجدول'!M62 &amp; CHAR(10) &amp; "• " &amp; 'الجدول'!M63 &amp; CHAR(10) &amp; "• " &amp; 'الجدول'!M64 &amp; CHAR(10) &amp; "• " &amp; 'الجدول'!M65 &amp; CHAR(10) &amp; "• " &amp; 'الجدول'!M66 &amp; CHAR(10) &amp; "• " &amp; 'الجدول'!M67 &amp; CHAR(10) &amp; "• " &amp; 'الجدول'!M68 &amp; CHAR(10) &amp; "• " &amp; 'الجدول'!M69 &amp; CHAR(10) &amp; CHAR(10) &amp; "■■ " &amp; 'الجدول'!N1 &amp; " ■■" &amp; CHAR(10) &amp; "• " &amp; 'الجدول'!N62 &amp; CHAR(10) &amp; "• " &amp; 'الجدول'!N63 &amp; CHAR(10) &amp; "• " &amp; 'الجدول'!N64 &amp; CHAR(10) &amp; "• " &amp; 'الجدول'!N65 &amp; CHAR(10) &amp; "• " &amp; 'الجدول'!N66 &amp; CHAR(10) &amp; "• " &amp; 'الجدول'!N67 &amp; CHAR(10) &amp; "• " &amp; 'الجدول'!N68 &amp; CHAR(10) &amp; "• " &amp; 'الجدول'!N69 &amp; CHAR(10) &amp; CHAR(10) &amp; "■■ " &amp; 'الجدول'!O1 &amp; " ■■" &amp; CHAR(10) &amp; "• " &amp; 'الجدول'!O62 &amp; CHAR(10) &amp; "• " &amp; 'الجدول'!O63 &amp; CHAR(10) &amp; "• " &amp; 'الجدول'!O64 &amp; CHAR(10) &amp; "• " &amp; 'الجدول'!O65 &amp; CHAR(10) &amp; "• " &amp; 'الجدول'!O66 &amp; CHAR(10) &amp; "• " &amp; 'الجدول'!O67 &amp; CHAR(10) &amp; "• " &amp; 'الجدول'!O68 &amp; CHAR(10) &amp; "• " &amp; 'الجدول'!O69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منار عواد عبدالعال عواد
(01001915861)
• الاء الحداد
(01033882560)
• Youssef elsemary
(01126286820)
• رؤى أحمد عبدالحميد البليهي
(01021284862)
• Mostafa Ismail
(01022400525)
• احمدنوید قیومی
(01104573242)
• مصطفى عبد الراضى صديق
(01226696153)
• Rawan Elessawy
(01010983040)
■■ WARD-NIGHT-🌙 ■■
• عمرو وائل سرور
(01023140340)
• هديل هشام منصور الوشاحي
(01227221344)
• مريم السيد أحمد خيرالله
(01099882992)
• تقى عماد حسني
(01119716276)
• سعيد السيد محمد السيد محمد سابق
(01203394950)
• ----------
• ----------
• ----------
</v>
      </c>
      <c r="C10" s="3" t="str">
        <f>HYPERLINK("#الجدول!A" &amp; 61, "الجدول الأساسي")</f>
        <v>الجدول الأساسي</v>
      </c>
    </row>
    <row r="11">
      <c r="A11" s="1" t="s">
        <v>91</v>
      </c>
      <c r="B11" s="5" t="str">
        <f>"" &amp; "■■ " &amp; 'الجدول'!B1 &amp; " ■■" &amp; CHAR(10) &amp; "• " &amp; 'الجدول'!B70 &amp; CHAR(10) &amp; "• " &amp; 'الجدول'!B71 &amp; CHAR(10) &amp; "• " &amp; 'الجدول'!B72 &amp; CHAR(10) &amp; "• " &amp; 'الجدول'!B73 &amp; CHAR(10) &amp; "• " &amp; 'الجدول'!B74 &amp; CHAR(10) &amp; "• " &amp; 'الجدول'!B75 &amp; CHAR(10) &amp; CHAR(10) &amp; "■■ " &amp; 'الجدول'!C1 &amp; " ■■" &amp; CHAR(10) &amp; "• " &amp; 'الجدول'!C70 &amp; CHAR(10) &amp; "• " &amp; 'الجدول'!C71 &amp; CHAR(10) &amp; "• " &amp; 'الجدول'!C72 &amp; CHAR(10) &amp; "• " &amp; 'الجدول'!C73 &amp; CHAR(10) &amp; "• " &amp; 'الجدول'!C74 &amp; CHAR(10) &amp; "• " &amp; 'الجدول'!C75 &amp; CHAR(10) &amp; CHAR(10) &amp; "■■ " &amp; 'الجدول'!D1 &amp; " ■■" &amp; CHAR(10) &amp; "• " &amp; 'الجدول'!D70 &amp; CHAR(10) &amp; "• " &amp; 'الجدول'!D71 &amp; CHAR(10) &amp; "• " &amp; 'الجدول'!D72 &amp; CHAR(10) &amp; "• " &amp; 'الجدول'!D73 &amp; CHAR(10) &amp; "• " &amp; 'الجدول'!D74 &amp; CHAR(10) &amp; "• " &amp; 'الجدول'!D75 &amp; CHAR(10) &amp; CHAR(10) &amp; "■■ " &amp; 'الجدول'!E1 &amp; " ■■" &amp; CHAR(10) &amp; "• " &amp; 'الجدول'!E70 &amp; CHAR(10) &amp; "• " &amp; 'الجدول'!E71 &amp; CHAR(10) &amp; "• " &amp; 'الجدول'!E72 &amp; CHAR(10) &amp; "• " &amp; 'الجدول'!E73 &amp; CHAR(10) &amp; "• " &amp; 'الجدول'!E74 &amp; CHAR(10) &amp; "• " &amp; 'الجدول'!E75 &amp; CHAR(10) &amp; CHAR(10) &amp; "■■ " &amp; 'الجدول'!F1 &amp; " ■■" &amp; CHAR(10) &amp; "• " &amp; 'الجدول'!F70 &amp; CHAR(10) &amp; "• " &amp; 'الجدول'!F71 &amp; CHAR(10) &amp; "• " &amp; 'الجدول'!F72 &amp; CHAR(10) &amp; "• " &amp; 'الجدول'!F73 &amp; CHAR(10) &amp; "• " &amp; 'الجدول'!F74 &amp; CHAR(10) &amp; "• " &amp; 'الجدول'!F75 &amp; CHAR(10) &amp; CHAR(10) &amp; "■■ " &amp; 'الجدول'!G1 &amp; " ■■" &amp; CHAR(10) &amp; "• " &amp; 'الجدول'!G70 &amp; CHAR(10) &amp; "• " &amp; 'الجدول'!G71 &amp; CHAR(10) &amp; "• " &amp; 'الجدول'!G72 &amp; CHAR(10) &amp; "• " &amp; 'الجدول'!G73 &amp; CHAR(10) &amp; "• " &amp; 'الجدول'!G74 &amp; CHAR(10) &amp; "• " &amp; 'الجدول'!G75 &amp; CHAR(10) &amp; CHAR(10) &amp; "■■ " &amp; 'الجدول'!H1 &amp; " ■■" &amp; CHAR(10) &amp; "• " &amp; 'الجدول'!H70 &amp; CHAR(10) &amp; "• " &amp; 'الجدول'!H71 &amp; CHAR(10) &amp; "• " &amp; 'الجدول'!H72 &amp; CHAR(10) &amp; "• " &amp; 'الجدول'!H73 &amp; CHAR(10) &amp; "• " &amp; 'الجدول'!H74 &amp; CHAR(10) &amp; "• " &amp; 'الجدول'!H75 &amp; CHAR(10) &amp; CHAR(10) &amp; "■■ " &amp; 'الجدول'!I1 &amp; " ■■" &amp; CHAR(10) &amp; "• " &amp; 'الجدول'!I70 &amp; CHAR(10) &amp; "• " &amp; 'الجدول'!I71 &amp; CHAR(10) &amp; "• " &amp; 'الجدول'!I72 &amp; CHAR(10) &amp; "• " &amp; 'الجدول'!I73 &amp; CHAR(10) &amp; "• " &amp; 'الجدول'!I74 &amp; CHAR(10) &amp; "• " &amp; 'الجدول'!I75 &amp; CHAR(10) &amp; CHAR(10) &amp; "■■ " &amp; 'الجدول'!J1 &amp; " ■■" &amp; CHAR(10) &amp; "• " &amp; 'الجدول'!J70 &amp; CHAR(10) &amp; "• " &amp; 'الجدول'!J71 &amp; CHAR(10) &amp; "• " &amp; 'الجدول'!J72 &amp; CHAR(10) &amp; "• " &amp; 'الجدول'!J73 &amp; CHAR(10) &amp; "• " &amp; 'الجدول'!J74 &amp; CHAR(10) &amp; "• " &amp; 'الجدول'!J75 &amp; CHAR(10) &amp; CHAR(10) &amp; "■■ " &amp; 'الجدول'!K1 &amp; " ■■" &amp; CHAR(10) &amp; "• " &amp; 'الجدول'!K70 &amp; CHAR(10) &amp; "• " &amp; 'الجدول'!K71 &amp; CHAR(10) &amp; "• " &amp; 'الجدول'!K72 &amp; CHAR(10) &amp; "• " &amp; 'الجدول'!K73 &amp; CHAR(10) &amp; "• " &amp; 'الجدول'!K74 &amp; CHAR(10) &amp; "• " &amp; 'الجدول'!K75 &amp; CHAR(10) &amp; CHAR(10) &amp; "■■ " &amp; 'الجدول'!L1 &amp; " ■■" &amp; CHAR(10) &amp; "• " &amp; 'الجدول'!L70 &amp; CHAR(10) &amp; "• " &amp; 'الجدول'!L71 &amp; CHAR(10) &amp; "• " &amp; 'الجدول'!L72 &amp; CHAR(10) &amp; "• " &amp; 'الجدول'!L73 &amp; CHAR(10) &amp; "• " &amp; 'الجدول'!L74 &amp; CHAR(10) &amp; "• " &amp; 'الجدول'!L75 &amp; CHAR(10) &amp; CHAR(10) &amp; "■■ " &amp; 'الجدول'!M1 &amp; " ■■" &amp; CHAR(10) &amp; "• " &amp; 'الجدول'!M70 &amp; CHAR(10) &amp; "• " &amp; 'الجدول'!M71 &amp; CHAR(10) &amp; "• " &amp; 'الجدول'!M72 &amp; CHAR(10) &amp; "• " &amp; 'الجدول'!M73 &amp; CHAR(10) &amp; "• " &amp; 'الجدول'!M74 &amp; CHAR(10) &amp; "• " &amp; 'الجدول'!M75 &amp; CHAR(10) &amp; CHAR(10) &amp; "■■ " &amp; 'الجدول'!N1 &amp; " ■■" &amp; CHAR(10) &amp; "• " &amp; 'الجدول'!N70 &amp; CHAR(10) &amp; "• " &amp; 'الجدول'!N71 &amp; CHAR(10) &amp; "• " &amp; 'الجدول'!N72 &amp; CHAR(10) &amp; "• " &amp; 'الجدول'!N73 &amp; CHAR(10) &amp; "• " &amp; 'الجدول'!N74 &amp; CHAR(10) &amp; "• " &amp; 'الجدول'!N75 &amp; CHAR(10) &amp; CHAR(10) &amp; "■■ " &amp; 'الجدول'!O1 &amp; " ■■" &amp; CHAR(10) &amp; "• " &amp; 'الجدول'!O70 &amp; CHAR(10) &amp; "• " &amp; 'الجدول'!O71 &amp; CHAR(10) &amp; "• " &amp; 'الجدول'!O72 &amp; CHAR(10) &amp; "• " &amp; 'الجدول'!O73 &amp; CHAR(10) &amp; "• " &amp; 'الجدول'!O74 &amp; CHAR(10) &amp; "• " &amp; 'الجدول'!O75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محمد خالد محمد
(01008204601)
• ريهام سعد عبدالرحمن
(01124867574)
• Youssef elsemary
(01126286820)
• ----------
• ----------
• ----------
■■ WARD-DAY-☀️ ■■
• أعناب طارق عوض
(01146334179)
• مي خالد ابوزيد
(01023578224)
• هديل نادي محند
(01033032220)
• محمود عبد المحسن إبراهيم
(01062086612)
• احمد حسام الدين صلاح
(01065567736)
• استيفن مدحت منير
(01200226122)
■■ WARD-NIGHT-🌙 ■■
• احمد ناصر
(01553479200)
• مي طارق نهاد
(01287477488)
• كارين باسم صومائيل
(01274209975)
• محمد محمود ابراهيم
(01112057358)
• ----------
• ----------
</v>
      </c>
      <c r="C11" s="3" t="str">
        <f>HYPERLINK("#الجدول!A" &amp; 69, "الجدول الأساسي")</f>
        <v>الجدول الأساسي</v>
      </c>
    </row>
    <row r="12">
      <c r="A12" s="1" t="s">
        <v>92</v>
      </c>
      <c r="B12" s="5" t="str">
        <f>"" &amp; "■■ " &amp; 'الجدول'!B1 &amp; " ■■" &amp; CHAR(10) &amp; "• " &amp; 'الجدول'!B76 &amp; CHAR(10) &amp; "• " &amp; 'الجدول'!B77 &amp; CHAR(10) &amp; "• " &amp; 'الجدول'!B78 &amp; CHAR(10) &amp; "• " &amp; 'الجدول'!B79 &amp; CHAR(10) &amp; "• " &amp; 'الجدول'!B80 &amp; CHAR(10) &amp; "• " &amp; 'الجدول'!B81 &amp; CHAR(10) &amp; CHAR(10) &amp; "■■ " &amp; 'الجدول'!C1 &amp; " ■■" &amp; CHAR(10) &amp; "• " &amp; 'الجدول'!C76 &amp; CHAR(10) &amp; "• " &amp; 'الجدول'!C77 &amp; CHAR(10) &amp; "• " &amp; 'الجدول'!C78 &amp; CHAR(10) &amp; "• " &amp; 'الجدول'!C79 &amp; CHAR(10) &amp; "• " &amp; 'الجدول'!C80 &amp; CHAR(10) &amp; "• " &amp; 'الجدول'!C81 &amp; CHAR(10) &amp; CHAR(10) &amp; "■■ " &amp; 'الجدول'!D1 &amp; " ■■" &amp; CHAR(10) &amp; "• " &amp; 'الجدول'!D76 &amp; CHAR(10) &amp; "• " &amp; 'الجدول'!D77 &amp; CHAR(10) &amp; "• " &amp; 'الجدول'!D78 &amp; CHAR(10) &amp; "• " &amp; 'الجدول'!D79 &amp; CHAR(10) &amp; "• " &amp; 'الجدول'!D80 &amp; CHAR(10) &amp; "• " &amp; 'الجدول'!D81 &amp; CHAR(10) &amp; CHAR(10) &amp; "■■ " &amp; 'الجدول'!E1 &amp; " ■■" &amp; CHAR(10) &amp; "• " &amp; 'الجدول'!E76 &amp; CHAR(10) &amp; "• " &amp; 'الجدول'!E77 &amp; CHAR(10) &amp; "• " &amp; 'الجدول'!E78 &amp; CHAR(10) &amp; "• " &amp; 'الجدول'!E79 &amp; CHAR(10) &amp; "• " &amp; 'الجدول'!E80 &amp; CHAR(10) &amp; "• " &amp; 'الجدول'!E81 &amp; CHAR(10) &amp; CHAR(10) &amp; "■■ " &amp; 'الجدول'!F1 &amp; " ■■" &amp; CHAR(10) &amp; "• " &amp; 'الجدول'!F76 &amp; CHAR(10) &amp; "• " &amp; 'الجدول'!F77 &amp; CHAR(10) &amp; "• " &amp; 'الجدول'!F78 &amp; CHAR(10) &amp; "• " &amp; 'الجدول'!F79 &amp; CHAR(10) &amp; "• " &amp; 'الجدول'!F80 &amp; CHAR(10) &amp; "• " &amp; 'الجدول'!F81 &amp; CHAR(10) &amp; CHAR(10) &amp; "■■ " &amp; 'الجدول'!G1 &amp; " ■■" &amp; CHAR(10) &amp; "• " &amp; 'الجدول'!G76 &amp; CHAR(10) &amp; "• " &amp; 'الجدول'!G77 &amp; CHAR(10) &amp; "• " &amp; 'الجدول'!G78 &amp; CHAR(10) &amp; "• " &amp; 'الجدول'!G79 &amp; CHAR(10) &amp; "• " &amp; 'الجدول'!G80 &amp; CHAR(10) &amp; "• " &amp; 'الجدول'!G81 &amp; CHAR(10) &amp; CHAR(10) &amp; "■■ " &amp; 'الجدول'!H1 &amp; " ■■" &amp; CHAR(10) &amp; "• " &amp; 'الجدول'!H76 &amp; CHAR(10) &amp; "• " &amp; 'الجدول'!H77 &amp; CHAR(10) &amp; "• " &amp; 'الجدول'!H78 &amp; CHAR(10) &amp; "• " &amp; 'الجدول'!H79 &amp; CHAR(10) &amp; "• " &amp; 'الجدول'!H80 &amp; CHAR(10) &amp; "• " &amp; 'الجدول'!H81 &amp; CHAR(10) &amp; CHAR(10) &amp; "■■ " &amp; 'الجدول'!I1 &amp; " ■■" &amp; CHAR(10) &amp; "• " &amp; 'الجدول'!I76 &amp; CHAR(10) &amp; "• " &amp; 'الجدول'!I77 &amp; CHAR(10) &amp; "• " &amp; 'الجدول'!I78 &amp; CHAR(10) &amp; "• " &amp; 'الجدول'!I79 &amp; CHAR(10) &amp; "• " &amp; 'الجدول'!I80 &amp; CHAR(10) &amp; "• " &amp; 'الجدول'!I81 &amp; CHAR(10) &amp; CHAR(10) &amp; "■■ " &amp; 'الجدول'!J1 &amp; " ■■" &amp; CHAR(10) &amp; "• " &amp; 'الجدول'!J76 &amp; CHAR(10) &amp; "• " &amp; 'الجدول'!J77 &amp; CHAR(10) &amp; "• " &amp; 'الجدول'!J78 &amp; CHAR(10) &amp; "• " &amp; 'الجدول'!J79 &amp; CHAR(10) &amp; "• " &amp; 'الجدول'!J80 &amp; CHAR(10) &amp; "• " &amp; 'الجدول'!J81 &amp; CHAR(10) &amp; CHAR(10) &amp; "■■ " &amp; 'الجدول'!K1 &amp; " ■■" &amp; CHAR(10) &amp; "• " &amp; 'الجدول'!K76 &amp; CHAR(10) &amp; "• " &amp; 'الجدول'!K77 &amp; CHAR(10) &amp; "• " &amp; 'الجدول'!K78 &amp; CHAR(10) &amp; "• " &amp; 'الجدول'!K79 &amp; CHAR(10) &amp; "• " &amp; 'الجدول'!K80 &amp; CHAR(10) &amp; "• " &amp; 'الجدول'!K81 &amp; CHAR(10) &amp; CHAR(10) &amp; "■■ " &amp; 'الجدول'!L1 &amp; " ■■" &amp; CHAR(10) &amp; "• " &amp; 'الجدول'!L76 &amp; CHAR(10) &amp; "• " &amp; 'الجدول'!L77 &amp; CHAR(10) &amp; "• " &amp; 'الجدول'!L78 &amp; CHAR(10) &amp; "• " &amp; 'الجدول'!L79 &amp; CHAR(10) &amp; "• " &amp; 'الجدول'!L80 &amp; CHAR(10) &amp; "• " &amp; 'الجدول'!L81 &amp; CHAR(10) &amp; CHAR(10) &amp; "■■ " &amp; 'الجدول'!M1 &amp; " ■■" &amp; CHAR(10) &amp; "• " &amp; 'الجدول'!M76 &amp; CHAR(10) &amp; "• " &amp; 'الجدول'!M77 &amp; CHAR(10) &amp; "• " &amp; 'الجدول'!M78 &amp; CHAR(10) &amp; "• " &amp; 'الجدول'!M79 &amp; CHAR(10) &amp; "• " &amp; 'الجدول'!M80 &amp; CHAR(10) &amp; "• " &amp; 'الجدول'!M81 &amp; CHAR(10) &amp; CHAR(10) &amp; "■■ " &amp; 'الجدول'!N1 &amp; " ■■" &amp; CHAR(10) &amp; "• " &amp; 'الجدول'!N76 &amp; CHAR(10) &amp; "• " &amp; 'الجدول'!N77 &amp; CHAR(10) &amp; "• " &amp; 'الجدول'!N78 &amp; CHAR(10) &amp; "• " &amp; 'الجدول'!N79 &amp; CHAR(10) &amp; "• " &amp; 'الجدول'!N80 &amp; CHAR(10) &amp; "• " &amp; 'الجدول'!N81 &amp; CHAR(10) &amp; CHAR(10) &amp; "■■ " &amp; 'الجدول'!O1 &amp; " ■■" &amp; CHAR(10) &amp; "• " &amp; 'الجدول'!O76 &amp; CHAR(10) &amp; "• " &amp; 'الجدول'!O77 &amp; CHAR(10) &amp; "• " &amp; 'الجدول'!O78 &amp; CHAR(10) &amp; "• " &amp; 'الجدول'!O79 &amp; CHAR(10) &amp; "• " &amp; 'الجدول'!O80 &amp; CHAR(10) &amp; "• " &amp; 'الجدول'!O81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Sara Refaat
(01220039613)
• سلمى أبوالعلا
(01124166114)
• مينا رومانى عبده
(01212866642)
• منار احمد سعيد
(01092708033)
• روان ياسر سليم
(01005005160)
• محمود محمد عبدالرحمن
(01023283048)
■■ WARD-NIGHT-🌙 ■■
• سندس أحمد سيد
(01156131096)
• سعيد السيد محمد السيد محمد سابق
(01203394950)
• شهاب احمد حلمي
(01055979002)
• احمدنوید قیومی
(01104573242)
• ----------
• ----------
</v>
      </c>
      <c r="C12" s="3" t="str">
        <f>HYPERLINK("#الجدول!A" &amp; 75, "الجدول الأساسي")</f>
        <v>الجدول الأساسي</v>
      </c>
    </row>
    <row r="13">
      <c r="A13" s="1" t="s">
        <v>93</v>
      </c>
      <c r="B13" s="5" t="str">
        <f>"" &amp; "■■ " &amp; 'الجدول'!B1 &amp; " ■■" &amp; CHAR(10) &amp; "• " &amp; 'الجدول'!B82 &amp; CHAR(10) &amp; "• " &amp; 'الجدول'!B83 &amp; CHAR(10) &amp; "• " &amp; 'الجدول'!B84 &amp; CHAR(10) &amp; "• " &amp; 'الجدول'!B85 &amp; CHAR(10) &amp; "• " &amp; 'الجدول'!B86 &amp; CHAR(10) &amp; CHAR(10) &amp; "■■ " &amp; 'الجدول'!C1 &amp; " ■■" &amp; CHAR(10) &amp; "• " &amp; 'الجدول'!C82 &amp; CHAR(10) &amp; "• " &amp; 'الجدول'!C83 &amp; CHAR(10) &amp; "• " &amp; 'الجدول'!C84 &amp; CHAR(10) &amp; "• " &amp; 'الجدول'!C85 &amp; CHAR(10) &amp; "• " &amp; 'الجدول'!C86 &amp; CHAR(10) &amp; CHAR(10) &amp; "■■ " &amp; 'الجدول'!D1 &amp; " ■■" &amp; CHAR(10) &amp; "• " &amp; 'الجدول'!D82 &amp; CHAR(10) &amp; "• " &amp; 'الجدول'!D83 &amp; CHAR(10) &amp; "• " &amp; 'الجدول'!D84 &amp; CHAR(10) &amp; "• " &amp; 'الجدول'!D85 &amp; CHAR(10) &amp; "• " &amp; 'الجدول'!D86 &amp; CHAR(10) &amp; CHAR(10) &amp; "■■ " &amp; 'الجدول'!E1 &amp; " ■■" &amp; CHAR(10) &amp; "• " &amp; 'الجدول'!E82 &amp; CHAR(10) &amp; "• " &amp; 'الجدول'!E83 &amp; CHAR(10) &amp; "• " &amp; 'الجدول'!E84 &amp; CHAR(10) &amp; "• " &amp; 'الجدول'!E85 &amp; CHAR(10) &amp; "• " &amp; 'الجدول'!E86 &amp; CHAR(10) &amp; CHAR(10) &amp; "■■ " &amp; 'الجدول'!F1 &amp; " ■■" &amp; CHAR(10) &amp; "• " &amp; 'الجدول'!F82 &amp; CHAR(10) &amp; "• " &amp; 'الجدول'!F83 &amp; CHAR(10) &amp; "• " &amp; 'الجدول'!F84 &amp; CHAR(10) &amp; "• " &amp; 'الجدول'!F85 &amp; CHAR(10) &amp; "• " &amp; 'الجدول'!F86 &amp; CHAR(10) &amp; CHAR(10) &amp; "■■ " &amp; 'الجدول'!G1 &amp; " ■■" &amp; CHAR(10) &amp; "• " &amp; 'الجدول'!G82 &amp; CHAR(10) &amp; "• " &amp; 'الجدول'!G83 &amp; CHAR(10) &amp; "• " &amp; 'الجدول'!G84 &amp; CHAR(10) &amp; "• " &amp; 'الجدول'!G85 &amp; CHAR(10) &amp; "• " &amp; 'الجدول'!G86 &amp; CHAR(10) &amp; CHAR(10) &amp; "■■ " &amp; 'الجدول'!H1 &amp; " ■■" &amp; CHAR(10) &amp; "• " &amp; 'الجدول'!H82 &amp; CHAR(10) &amp; "• " &amp; 'الجدول'!H83 &amp; CHAR(10) &amp; "• " &amp; 'الجدول'!H84 &amp; CHAR(10) &amp; "• " &amp; 'الجدول'!H85 &amp; CHAR(10) &amp; "• " &amp; 'الجدول'!H86 &amp; CHAR(10) &amp; CHAR(10) &amp; "■■ " &amp; 'الجدول'!I1 &amp; " ■■" &amp; CHAR(10) &amp; "• " &amp; 'الجدول'!I82 &amp; CHAR(10) &amp; "• " &amp; 'الجدول'!I83 &amp; CHAR(10) &amp; "• " &amp; 'الجدول'!I84 &amp; CHAR(10) &amp; "• " &amp; 'الجدول'!I85 &amp; CHAR(10) &amp; "• " &amp; 'الجدول'!I86 &amp; CHAR(10) &amp; CHAR(10) &amp; "■■ " &amp; 'الجدول'!J1 &amp; " ■■" &amp; CHAR(10) &amp; "• " &amp; 'الجدول'!J82 &amp; CHAR(10) &amp; "• " &amp; 'الجدول'!J83 &amp; CHAR(10) &amp; "• " &amp; 'الجدول'!J84 &amp; CHAR(10) &amp; "• " &amp; 'الجدول'!J85 &amp; CHAR(10) &amp; "• " &amp; 'الجدول'!J86 &amp; CHAR(10) &amp; CHAR(10) &amp; "■■ " &amp; 'الجدول'!K1 &amp; " ■■" &amp; CHAR(10) &amp; "• " &amp; 'الجدول'!K82 &amp; CHAR(10) &amp; "• " &amp; 'الجدول'!K83 &amp; CHAR(10) &amp; "• " &amp; 'الجدول'!K84 &amp; CHAR(10) &amp; "• " &amp; 'الجدول'!K85 &amp; CHAR(10) &amp; "• " &amp; 'الجدول'!K86 &amp; CHAR(10) &amp; CHAR(10) &amp; "■■ " &amp; 'الجدول'!L1 &amp; " ■■" &amp; CHAR(10) &amp; "• " &amp; 'الجدول'!L82 &amp; CHAR(10) &amp; "• " &amp; 'الجدول'!L83 &amp; CHAR(10) &amp; "• " &amp; 'الجدول'!L84 &amp; CHAR(10) &amp; "• " &amp; 'الجدول'!L85 &amp; CHAR(10) &amp; "• " &amp; 'الجدول'!L86 &amp; CHAR(10) &amp; CHAR(10) &amp; "■■ " &amp; 'الجدول'!M1 &amp; " ■■" &amp; CHAR(10) &amp; "• " &amp; 'الجدول'!M82 &amp; CHAR(10) &amp; "• " &amp; 'الجدول'!M83 &amp; CHAR(10) &amp; "• " &amp; 'الجدول'!M84 &amp; CHAR(10) &amp; "• " &amp; 'الجدول'!M85 &amp; CHAR(10) &amp; "• " &amp; 'الجدول'!M86 &amp; CHAR(10) &amp; CHAR(10) &amp; "■■ " &amp; 'الجدول'!N1 &amp; " ■■" &amp; CHAR(10) &amp; "• " &amp; 'الجدول'!N82 &amp; CHAR(10) &amp; "• " &amp; 'الجدول'!N83 &amp; CHAR(10) &amp; "• " &amp; 'الجدول'!N84 &amp; CHAR(10) &amp; "• " &amp; 'الجدول'!N85 &amp; CHAR(10) &amp; "• " &amp; 'الجدول'!N86 &amp; CHAR(10) &amp; CHAR(10) &amp; "■■ " &amp; 'الجدول'!O1 &amp; " ■■" &amp; CHAR(10) &amp; "• " &amp; 'الجدول'!O82 &amp; CHAR(10) &amp; "• " &amp; 'الجدول'!O83 &amp; CHAR(10) &amp; "• " &amp; 'الجدول'!O84 &amp; CHAR(10) &amp; "• " &amp; 'الجدول'!O85 &amp; CHAR(10) &amp; "• " &amp; 'الجدول'!O86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Ziad said mohamed
(01028577876)
• احمد حسام الدين صلاح
(01065567736)
• أحمد رجب محمد
(01273127265)
• منه الله هشام السيد
(01002996214)
• محمد خالد محمد
(01008204601)
■■ WARD-NIGHT-🌙 ■■
• تقى عماد حسني
(01119716276)
• Marwan Ayman
(01149894940)
• عبدالمسيح مكرم
(01203267885)
• ----------
• ----------
</v>
      </c>
      <c r="C13" s="3" t="str">
        <f>HYPERLINK("#الجدول!A" &amp; 81, "الجدول الأساسي")</f>
        <v>الجدول الأساسي</v>
      </c>
    </row>
    <row r="14">
      <c r="A14" s="1" t="s">
        <v>94</v>
      </c>
      <c r="B14" s="5" t="str">
        <f>"" &amp; "■■ " &amp; 'الجدول'!B1 &amp; " ■■" &amp; CHAR(10) &amp; "• " &amp; 'الجدول'!B87 &amp; CHAR(10) &amp; "• " &amp; 'الجدول'!B88 &amp; CHAR(10) &amp; "• " &amp; 'الجدول'!B89 &amp; CHAR(10) &amp; "• " &amp; 'الجدول'!B90 &amp; CHAR(10) &amp; "• " &amp; 'الجدول'!B91 &amp; CHAR(10) &amp; CHAR(10) &amp; "■■ " &amp; 'الجدول'!C1 &amp; " ■■" &amp; CHAR(10) &amp; "• " &amp; 'الجدول'!C87 &amp; CHAR(10) &amp; "• " &amp; 'الجدول'!C88 &amp; CHAR(10) &amp; "• " &amp; 'الجدول'!C89 &amp; CHAR(10) &amp; "• " &amp; 'الجدول'!C90 &amp; CHAR(10) &amp; "• " &amp; 'الجدول'!C91 &amp; CHAR(10) &amp; CHAR(10) &amp; "■■ " &amp; 'الجدول'!D1 &amp; " ■■" &amp; CHAR(10) &amp; "• " &amp; 'الجدول'!D87 &amp; CHAR(10) &amp; "• " &amp; 'الجدول'!D88 &amp; CHAR(10) &amp; "• " &amp; 'الجدول'!D89 &amp; CHAR(10) &amp; "• " &amp; 'الجدول'!D90 &amp; CHAR(10) &amp; "• " &amp; 'الجدول'!D91 &amp; CHAR(10) &amp; CHAR(10) &amp; "■■ " &amp; 'الجدول'!E1 &amp; " ■■" &amp; CHAR(10) &amp; "• " &amp; 'الجدول'!E87 &amp; CHAR(10) &amp; "• " &amp; 'الجدول'!E88 &amp; CHAR(10) &amp; "• " &amp; 'الجدول'!E89 &amp; CHAR(10) &amp; "• " &amp; 'الجدول'!E90 &amp; CHAR(10) &amp; "• " &amp; 'الجدول'!E91 &amp; CHAR(10) &amp; CHAR(10) &amp; "■■ " &amp; 'الجدول'!F1 &amp; " ■■" &amp; CHAR(10) &amp; "• " &amp; 'الجدول'!F87 &amp; CHAR(10) &amp; "• " &amp; 'الجدول'!F88 &amp; CHAR(10) &amp; "• " &amp; 'الجدول'!F89 &amp; CHAR(10) &amp; "• " &amp; 'الجدول'!F90 &amp; CHAR(10) &amp; "• " &amp; 'الجدول'!F91 &amp; CHAR(10) &amp; CHAR(10) &amp; "■■ " &amp; 'الجدول'!G1 &amp; " ■■" &amp; CHAR(10) &amp; "• " &amp; 'الجدول'!G87 &amp; CHAR(10) &amp; "• " &amp; 'الجدول'!G88 &amp; CHAR(10) &amp; "• " &amp; 'الجدول'!G89 &amp; CHAR(10) &amp; "• " &amp; 'الجدول'!G90 &amp; CHAR(10) &amp; "• " &amp; 'الجدول'!G91 &amp; CHAR(10) &amp; CHAR(10) &amp; "■■ " &amp; 'الجدول'!H1 &amp; " ■■" &amp; CHAR(10) &amp; "• " &amp; 'الجدول'!H87 &amp; CHAR(10) &amp; "• " &amp; 'الجدول'!H88 &amp; CHAR(10) &amp; "• " &amp; 'الجدول'!H89 &amp; CHAR(10) &amp; "• " &amp; 'الجدول'!H90 &amp; CHAR(10) &amp; "• " &amp; 'الجدول'!H91 &amp; CHAR(10) &amp; CHAR(10) &amp; "■■ " &amp; 'الجدول'!I1 &amp; " ■■" &amp; CHAR(10) &amp; "• " &amp; 'الجدول'!I87 &amp; CHAR(10) &amp; "• " &amp; 'الجدول'!I88 &amp; CHAR(10) &amp; "• " &amp; 'الجدول'!I89 &amp; CHAR(10) &amp; "• " &amp; 'الجدول'!I90 &amp; CHAR(10) &amp; "• " &amp; 'الجدول'!I91 &amp; CHAR(10) &amp; CHAR(10) &amp; "■■ " &amp; 'الجدول'!J1 &amp; " ■■" &amp; CHAR(10) &amp; "• " &amp; 'الجدول'!J87 &amp; CHAR(10) &amp; "• " &amp; 'الجدول'!J88 &amp; CHAR(10) &amp; "• " &amp; 'الجدول'!J89 &amp; CHAR(10) &amp; "• " &amp; 'الجدول'!J90 &amp; CHAR(10) &amp; "• " &amp; 'الجدول'!J91 &amp; CHAR(10) &amp; CHAR(10) &amp; "■■ " &amp; 'الجدول'!K1 &amp; " ■■" &amp; CHAR(10) &amp; "• " &amp; 'الجدول'!K87 &amp; CHAR(10) &amp; "• " &amp; 'الجدول'!K88 &amp; CHAR(10) &amp; "• " &amp; 'الجدول'!K89 &amp; CHAR(10) &amp; "• " &amp; 'الجدول'!K90 &amp; CHAR(10) &amp; "• " &amp; 'الجدول'!K91 &amp; CHAR(10) &amp; CHAR(10) &amp; "■■ " &amp; 'الجدول'!L1 &amp; " ■■" &amp; CHAR(10) &amp; "• " &amp; 'الجدول'!L87 &amp; CHAR(10) &amp; "• " &amp; 'الجدول'!L88 &amp; CHAR(10) &amp; "• " &amp; 'الجدول'!L89 &amp; CHAR(10) &amp; "• " &amp; 'الجدول'!L90 &amp; CHAR(10) &amp; "• " &amp; 'الجدول'!L91 &amp; CHAR(10) &amp; CHAR(10) &amp; "■■ " &amp; 'الجدول'!M1 &amp; " ■■" &amp; CHAR(10) &amp; "• " &amp; 'الجدول'!M87 &amp; CHAR(10) &amp; "• " &amp; 'الجدول'!M88 &amp; CHAR(10) &amp; "• " &amp; 'الجدول'!M89 &amp; CHAR(10) &amp; "• " &amp; 'الجدول'!M90 &amp; CHAR(10) &amp; "• " &amp; 'الجدول'!M91 &amp; CHAR(10) &amp; CHAR(10) &amp; "■■ " &amp; 'الجدول'!N1 &amp; " ■■" &amp; CHAR(10) &amp; "• " &amp; 'الجدول'!N87 &amp; CHAR(10) &amp; "• " &amp; 'الجدول'!N88 &amp; CHAR(10) &amp; "• " &amp; 'الجدول'!N89 &amp; CHAR(10) &amp; "• " &amp; 'الجدول'!N90 &amp; CHAR(10) &amp; "• " &amp; 'الجدول'!N91 &amp; CHAR(10) &amp; CHAR(10) &amp; "■■ " &amp; 'الجدول'!O1 &amp; " ■■" &amp; CHAR(10) &amp; "• " &amp; 'الجدول'!O87 &amp; CHAR(10) &amp; "• " &amp; 'الجدول'!O88 &amp; CHAR(10) &amp; "• " &amp; 'الجدول'!O89 &amp; CHAR(10) &amp; "• " &amp; 'الجدول'!O90 &amp; CHAR(10) &amp; "• " &amp; 'الجدول'!O91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الاء الحداد
(01033882560)
• Mostafa Ismail
(01022400525)
• رنيم حاتم رفيق بسيسو
(01144758373)
• عمرو وائل سرور
(01023140340)
• محمود محمد عبدالرحمن
(01023283048)
■■ WARD-NIGHT-🌙 ■■
• محمد  الجمل
(01091463337)
• عبدالله احمد
(01020242571)
• عمرو عبدالغفار حمزة
(01014246636)
• حنان النبوى محمد
(01067888751)
• ----------
</v>
      </c>
      <c r="C14" s="3" t="str">
        <f>HYPERLINK("#الجدول!A" &amp; 86, "الجدول الأساسي")</f>
        <v>الجدول الأساسي</v>
      </c>
    </row>
    <row r="15">
      <c r="A15" s="1" t="s">
        <v>95</v>
      </c>
      <c r="B15" s="5" t="str">
        <f>"" &amp; "■■ " &amp; 'الجدول'!B1 &amp; " ■■" &amp; CHAR(10) &amp; "• " &amp; 'الجدول'!B92 &amp; CHAR(10) &amp; "• " &amp; 'الجدول'!B93 &amp; CHAR(10) &amp; "• " &amp; 'الجدول'!B94 &amp; CHAR(10) &amp; "• " &amp; 'الجدول'!B95 &amp; CHAR(10) &amp; "• " &amp; 'الجدول'!B96 &amp; CHAR(10) &amp; CHAR(10) &amp; "■■ " &amp; 'الجدول'!C1 &amp; " ■■" &amp; CHAR(10) &amp; "• " &amp; 'الجدول'!C92 &amp; CHAR(10) &amp; "• " &amp; 'الجدول'!C93 &amp; CHAR(10) &amp; "• " &amp; 'الجدول'!C94 &amp; CHAR(10) &amp; "• " &amp; 'الجدول'!C95 &amp; CHAR(10) &amp; "• " &amp; 'الجدول'!C96 &amp; CHAR(10) &amp; CHAR(10) &amp; "■■ " &amp; 'الجدول'!D1 &amp; " ■■" &amp; CHAR(10) &amp; "• " &amp; 'الجدول'!D92 &amp; CHAR(10) &amp; "• " &amp; 'الجدول'!D93 &amp; CHAR(10) &amp; "• " &amp; 'الجدول'!D94 &amp; CHAR(10) &amp; "• " &amp; 'الجدول'!D95 &amp; CHAR(10) &amp; "• " &amp; 'الجدول'!D96 &amp; CHAR(10) &amp; CHAR(10) &amp; "■■ " &amp; 'الجدول'!E1 &amp; " ■■" &amp; CHAR(10) &amp; "• " &amp; 'الجدول'!E92 &amp; CHAR(10) &amp; "• " &amp; 'الجدول'!E93 &amp; CHAR(10) &amp; "• " &amp; 'الجدول'!E94 &amp; CHAR(10) &amp; "• " &amp; 'الجدول'!E95 &amp; CHAR(10) &amp; "• " &amp; 'الجدول'!E96 &amp; CHAR(10) &amp; CHAR(10) &amp; "■■ " &amp; 'الجدول'!F1 &amp; " ■■" &amp; CHAR(10) &amp; "• " &amp; 'الجدول'!F92 &amp; CHAR(10) &amp; "• " &amp; 'الجدول'!F93 &amp; CHAR(10) &amp; "• " &amp; 'الجدول'!F94 &amp; CHAR(10) &amp; "• " &amp; 'الجدول'!F95 &amp; CHAR(10) &amp; "• " &amp; 'الجدول'!F96 &amp; CHAR(10) &amp; CHAR(10) &amp; "■■ " &amp; 'الجدول'!G1 &amp; " ■■" &amp; CHAR(10) &amp; "• " &amp; 'الجدول'!G92 &amp; CHAR(10) &amp; "• " &amp; 'الجدول'!G93 &amp; CHAR(10) &amp; "• " &amp; 'الجدول'!G94 &amp; CHAR(10) &amp; "• " &amp; 'الجدول'!G95 &amp; CHAR(10) &amp; "• " &amp; 'الجدول'!G96 &amp; CHAR(10) &amp; CHAR(10) &amp; "■■ " &amp; 'الجدول'!H1 &amp; " ■■" &amp; CHAR(10) &amp; "• " &amp; 'الجدول'!H92 &amp; CHAR(10) &amp; "• " &amp; 'الجدول'!H93 &amp; CHAR(10) &amp; "• " &amp; 'الجدول'!H94 &amp; CHAR(10) &amp; "• " &amp; 'الجدول'!H95 &amp; CHAR(10) &amp; "• " &amp; 'الجدول'!H96 &amp; CHAR(10) &amp; CHAR(10) &amp; "■■ " &amp; 'الجدول'!I1 &amp; " ■■" &amp; CHAR(10) &amp; "• " &amp; 'الجدول'!I92 &amp; CHAR(10) &amp; "• " &amp; 'الجدول'!I93 &amp; CHAR(10) &amp; "• " &amp; 'الجدول'!I94 &amp; CHAR(10) &amp; "• " &amp; 'الجدول'!I95 &amp; CHAR(10) &amp; "• " &amp; 'الجدول'!I96 &amp; CHAR(10) &amp; CHAR(10) &amp; "■■ " &amp; 'الجدول'!J1 &amp; " ■■" &amp; CHAR(10) &amp; "• " &amp; 'الجدول'!J92 &amp; CHAR(10) &amp; "• " &amp; 'الجدول'!J93 &amp; CHAR(10) &amp; "• " &amp; 'الجدول'!J94 &amp; CHAR(10) &amp; "• " &amp; 'الجدول'!J95 &amp; CHAR(10) &amp; "• " &amp; 'الجدول'!J96 &amp; CHAR(10) &amp; CHAR(10) &amp; "■■ " &amp; 'الجدول'!K1 &amp; " ■■" &amp; CHAR(10) &amp; "• " &amp; 'الجدول'!K92 &amp; CHAR(10) &amp; "• " &amp; 'الجدول'!K93 &amp; CHAR(10) &amp; "• " &amp; 'الجدول'!K94 &amp; CHAR(10) &amp; "• " &amp; 'الجدول'!K95 &amp; CHAR(10) &amp; "• " &amp; 'الجدول'!K96 &amp; CHAR(10) &amp; CHAR(10) &amp; "■■ " &amp; 'الجدول'!L1 &amp; " ■■" &amp; CHAR(10) &amp; "• " &amp; 'الجدول'!L92 &amp; CHAR(10) &amp; "• " &amp; 'الجدول'!L93 &amp; CHAR(10) &amp; "• " &amp; 'الجدول'!L94 &amp; CHAR(10) &amp; "• " &amp; 'الجدول'!L95 &amp; CHAR(10) &amp; "• " &amp; 'الجدول'!L96 &amp; CHAR(10) &amp; CHAR(10) &amp; "■■ " &amp; 'الجدول'!M1 &amp; " ■■" &amp; CHAR(10) &amp; "• " &amp; 'الجدول'!M92 &amp; CHAR(10) &amp; "• " &amp; 'الجدول'!M93 &amp; CHAR(10) &amp; "• " &amp; 'الجدول'!M94 &amp; CHAR(10) &amp; "• " &amp; 'الجدول'!M95 &amp; CHAR(10) &amp; "• " &amp; 'الجدول'!M96 &amp; CHAR(10) &amp; CHAR(10) &amp; "■■ " &amp; 'الجدول'!N1 &amp; " ■■" &amp; CHAR(10) &amp; "• " &amp; 'الجدول'!N92 &amp; CHAR(10) &amp; "• " &amp; 'الجدول'!N93 &amp; CHAR(10) &amp; "• " &amp; 'الجدول'!N94 &amp; CHAR(10) &amp; "• " &amp; 'الجدول'!N95 &amp; CHAR(10) &amp; "• " &amp; 'الجدول'!N96 &amp; CHAR(10) &amp; CHAR(10) &amp; "■■ " &amp; 'الجدول'!O1 &amp; " ■■" &amp; CHAR(10) &amp; "• " &amp; 'الجدول'!O92 &amp; CHAR(10) &amp; "• " &amp; 'الجدول'!O93 &amp; CHAR(10) &amp; "• " &amp; 'الجدول'!O94 &amp; CHAR(10) &amp; "• " &amp; 'الجدول'!O95 &amp; CHAR(10) &amp; "• " &amp; 'الجدول'!O96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Mostafa Ismail
(01022400525)
• حنان النبوى محمد
(01067888751)
• محمد محمود ابراهيم
(01112057358)
• ----------
• ----------
■■ WARD-DAY-☀️ ■■
• هديل نادي محند
(01033032220)
• منار عواد عبدالعال عواد
(01001915861)
• بلال جودة
(01066199644)
• رؤى أحمد عبدالحميد البليهي
(01021284862)
• Rawan Elessawy
(01010983040)
■■ WARD-NIGHT-🌙 ■■
• احمد عزت الشيخ
(01226872660)
• عمرو وائل سرور
(01023140340)
• تقى عماد حسني
(01119716276)
• ----------
• ----------
</v>
      </c>
      <c r="C15" s="3" t="str">
        <f>HYPERLINK("#الجدول!A" &amp; 91, "الجدول الأساسي")</f>
        <v>الجدول الأساسي</v>
      </c>
    </row>
    <row r="16">
      <c r="A16" s="1" t="s">
        <v>96</v>
      </c>
      <c r="B16" s="5" t="str">
        <f>"" &amp; "■■ " &amp; 'الجدول'!B1 &amp; " ■■" &amp; CHAR(10) &amp; "• " &amp; 'الجدول'!B97 &amp; CHAR(10) &amp; "• " &amp; 'الجدول'!B98 &amp; CHAR(10) &amp; "• " &amp; 'الجدول'!B99 &amp; CHAR(10) &amp; "• " &amp; 'الجدول'!B100 &amp; CHAR(10) &amp; "• " &amp; 'الجدول'!B101 &amp; CHAR(10) &amp; "• " &amp; 'الجدول'!B102 &amp; CHAR(10) &amp; "• " &amp; 'الجدول'!B103 &amp; CHAR(10) &amp; "• " &amp; 'الجدول'!B104 &amp; CHAR(10) &amp; "• " &amp; 'الجدول'!B105 &amp; CHAR(10) &amp; CHAR(10) &amp; "■■ " &amp; 'الجدول'!C1 &amp; " ■■" &amp; CHAR(10) &amp; "• " &amp; 'الجدول'!C97 &amp; CHAR(10) &amp; "• " &amp; 'الجدول'!C98 &amp; CHAR(10) &amp; "• " &amp; 'الجدول'!C99 &amp; CHAR(10) &amp; "• " &amp; 'الجدول'!C100 &amp; CHAR(10) &amp; "• " &amp; 'الجدول'!C101 &amp; CHAR(10) &amp; "• " &amp; 'الجدول'!C102 &amp; CHAR(10) &amp; "• " &amp; 'الجدول'!C103 &amp; CHAR(10) &amp; "• " &amp; 'الجدول'!C104 &amp; CHAR(10) &amp; "• " &amp; 'الجدول'!C105 &amp; CHAR(10) &amp; CHAR(10) &amp; "■■ " &amp; 'الجدول'!D1 &amp; " ■■" &amp; CHAR(10) &amp; "• " &amp; 'الجدول'!D97 &amp; CHAR(10) &amp; "• " &amp; 'الجدول'!D98 &amp; CHAR(10) &amp; "• " &amp; 'الجدول'!D99 &amp; CHAR(10) &amp; "• " &amp; 'الجدول'!D100 &amp; CHAR(10) &amp; "• " &amp; 'الجدول'!D101 &amp; CHAR(10) &amp; "• " &amp; 'الجدول'!D102 &amp; CHAR(10) &amp; "• " &amp; 'الجدول'!D103 &amp; CHAR(10) &amp; "• " &amp; 'الجدول'!D104 &amp; CHAR(10) &amp; "• " &amp; 'الجدول'!D105 &amp; CHAR(10) &amp; CHAR(10) &amp; "■■ " &amp; 'الجدول'!E1 &amp; " ■■" &amp; CHAR(10) &amp; "• " &amp; 'الجدول'!E97 &amp; CHAR(10) &amp; "• " &amp; 'الجدول'!E98 &amp; CHAR(10) &amp; "• " &amp; 'الجدول'!E99 &amp; CHAR(10) &amp; "• " &amp; 'الجدول'!E100 &amp; CHAR(10) &amp; "• " &amp; 'الجدول'!E101 &amp; CHAR(10) &amp; "• " &amp; 'الجدول'!E102 &amp; CHAR(10) &amp; "• " &amp; 'الجدول'!E103 &amp; CHAR(10) &amp; "• " &amp; 'الجدول'!E104 &amp; CHAR(10) &amp; "• " &amp; 'الجدول'!E105 &amp; CHAR(10) &amp; CHAR(10) &amp; "■■ " &amp; 'الجدول'!F1 &amp; " ■■" &amp; CHAR(10) &amp; "• " &amp; 'الجدول'!F97 &amp; CHAR(10) &amp; "• " &amp; 'الجدول'!F98 &amp; CHAR(10) &amp; "• " &amp; 'الجدول'!F99 &amp; CHAR(10) &amp; "• " &amp; 'الجدول'!F100 &amp; CHAR(10) &amp; "• " &amp; 'الجدول'!F101 &amp; CHAR(10) &amp; "• " &amp; 'الجدول'!F102 &amp; CHAR(10) &amp; "• " &amp; 'الجدول'!F103 &amp; CHAR(10) &amp; "• " &amp; 'الجدول'!F104 &amp; CHAR(10) &amp; "• " &amp; 'الجدول'!F105 &amp; CHAR(10) &amp; CHAR(10) &amp; "■■ " &amp; 'الجدول'!G1 &amp; " ■■" &amp; CHAR(10) &amp; "• " &amp; 'الجدول'!G97 &amp; CHAR(10) &amp; "• " &amp; 'الجدول'!G98 &amp; CHAR(10) &amp; "• " &amp; 'الجدول'!G99 &amp; CHAR(10) &amp; "• " &amp; 'الجدول'!G100 &amp; CHAR(10) &amp; "• " &amp; 'الجدول'!G101 &amp; CHAR(10) &amp; "• " &amp; 'الجدول'!G102 &amp; CHAR(10) &amp; "• " &amp; 'الجدول'!G103 &amp; CHAR(10) &amp; "• " &amp; 'الجدول'!G104 &amp; CHAR(10) &amp; "• " &amp; 'الجدول'!G105 &amp; CHAR(10) &amp; CHAR(10) &amp; "■■ " &amp; 'الجدول'!H1 &amp; " ■■" &amp; CHAR(10) &amp; "• " &amp; 'الجدول'!H97 &amp; CHAR(10) &amp; "• " &amp; 'الجدول'!H98 &amp; CHAR(10) &amp; "• " &amp; 'الجدول'!H99 &amp; CHAR(10) &amp; "• " &amp; 'الجدول'!H100 &amp; CHAR(10) &amp; "• " &amp; 'الجدول'!H101 &amp; CHAR(10) &amp; "• " &amp; 'الجدول'!H102 &amp; CHAR(10) &amp; "• " &amp; 'الجدول'!H103 &amp; CHAR(10) &amp; "• " &amp; 'الجدول'!H104 &amp; CHAR(10) &amp; "• " &amp; 'الجدول'!H105 &amp; CHAR(10) &amp; CHAR(10) &amp; "■■ " &amp; 'الجدول'!I1 &amp; " ■■" &amp; CHAR(10) &amp; "• " &amp; 'الجدول'!I97 &amp; CHAR(10) &amp; "• " &amp; 'الجدول'!I98 &amp; CHAR(10) &amp; "• " &amp; 'الجدول'!I99 &amp; CHAR(10) &amp; "• " &amp; 'الجدول'!I100 &amp; CHAR(10) &amp; "• " &amp; 'الجدول'!I101 &amp; CHAR(10) &amp; "• " &amp; 'الجدول'!I102 &amp; CHAR(10) &amp; "• " &amp; 'الجدول'!I103 &amp; CHAR(10) &amp; "• " &amp; 'الجدول'!I104 &amp; CHAR(10) &amp; "• " &amp; 'الجدول'!I105 &amp; CHAR(10) &amp; CHAR(10) &amp; "■■ " &amp; 'الجدول'!J1 &amp; " ■■" &amp; CHAR(10) &amp; "• " &amp; 'الجدول'!J97 &amp; CHAR(10) &amp; "• " &amp; 'الجدول'!J98 &amp; CHAR(10) &amp; "• " &amp; 'الجدول'!J99 &amp; CHAR(10) &amp; "• " &amp; 'الجدول'!J100 &amp; CHAR(10) &amp; "• " &amp; 'الجدول'!J101 &amp; CHAR(10) &amp; "• " &amp; 'الجدول'!J102 &amp; CHAR(10) &amp; "• " &amp; 'الجدول'!J103 &amp; CHAR(10) &amp; "• " &amp; 'الجدول'!J104 &amp; CHAR(10) &amp; "• " &amp; 'الجدول'!J105 &amp; CHAR(10) &amp; CHAR(10) &amp; "■■ " &amp; 'الجدول'!K1 &amp; " ■■" &amp; CHAR(10) &amp; "• " &amp; 'الجدول'!K97 &amp; CHAR(10) &amp; "• " &amp; 'الجدول'!K98 &amp; CHAR(10) &amp; "• " &amp; 'الجدول'!K99 &amp; CHAR(10) &amp; "• " &amp; 'الجدول'!K100 &amp; CHAR(10) &amp; "• " &amp; 'الجدول'!K101 &amp; CHAR(10) &amp; "• " &amp; 'الجدول'!K102 &amp; CHAR(10) &amp; "• " &amp; 'الجدول'!K103 &amp; CHAR(10) &amp; "• " &amp; 'الجدول'!K104 &amp; CHAR(10) &amp; "• " &amp; 'الجدول'!K105 &amp; CHAR(10) &amp; CHAR(10) &amp; "■■ " &amp; 'الجدول'!L1 &amp; " ■■" &amp; CHAR(10) &amp; "• " &amp; 'الجدول'!L97 &amp; CHAR(10) &amp; "• " &amp; 'الجدول'!L98 &amp; CHAR(10) &amp; "• " &amp; 'الجدول'!L99 &amp; CHAR(10) &amp; "• " &amp; 'الجدول'!L100 &amp; CHAR(10) &amp; "• " &amp; 'الجدول'!L101 &amp; CHAR(10) &amp; "• " &amp; 'الجدول'!L102 &amp; CHAR(10) &amp; "• " &amp; 'الجدول'!L103 &amp; CHAR(10) &amp; "• " &amp; 'الجدول'!L104 &amp; CHAR(10) &amp; "• " &amp; 'الجدول'!L105 &amp; CHAR(10) &amp; CHAR(10) &amp; "■■ " &amp; 'الجدول'!M1 &amp; " ■■" &amp; CHAR(10) &amp; "• " &amp; 'الجدول'!M97 &amp; CHAR(10) &amp; "• " &amp; 'الجدول'!M98 &amp; CHAR(10) &amp; "• " &amp; 'الجدول'!M99 &amp; CHAR(10) &amp; "• " &amp; 'الجدول'!M100 &amp; CHAR(10) &amp; "• " &amp; 'الجدول'!M101 &amp; CHAR(10) &amp; "• " &amp; 'الجدول'!M102 &amp; CHAR(10) &amp; "• " &amp; 'الجدول'!M103 &amp; CHAR(10) &amp; "• " &amp; 'الجدول'!M104 &amp; CHAR(10) &amp; "• " &amp; 'الجدول'!M105 &amp; CHAR(10) &amp; CHAR(10) &amp; "■■ " &amp; 'الجدول'!N1 &amp; " ■■" &amp; CHAR(10) &amp; "• " &amp; 'الجدول'!N97 &amp; CHAR(10) &amp; "• " &amp; 'الجدول'!N98 &amp; CHAR(10) &amp; "• " &amp; 'الجدول'!N99 &amp; CHAR(10) &amp; "• " &amp; 'الجدول'!N100 &amp; CHAR(10) &amp; "• " &amp; 'الجدول'!N101 &amp; CHAR(10) &amp; "• " &amp; 'الجدول'!N102 &amp; CHAR(10) &amp; "• " &amp; 'الجدول'!N103 &amp; CHAR(10) &amp; "• " &amp; 'الجدول'!N104 &amp; CHAR(10) &amp; "• " &amp; 'الجدول'!N105 &amp; CHAR(10) &amp; CHAR(10) &amp; "■■ " &amp; 'الجدول'!O1 &amp; " ■■" &amp; CHAR(10) &amp; "• " &amp; 'الجدول'!O97 &amp; CHAR(10) &amp; "• " &amp; 'الجدول'!O98 &amp; CHAR(10) &amp; "• " &amp; 'الجدول'!O99 &amp; CHAR(10) &amp; "• " &amp; 'الجدول'!O100 &amp; CHAR(10) &amp; "• " &amp; 'الجدول'!O101 &amp; CHAR(10) &amp; "• " &amp; 'الجدول'!O102 &amp; CHAR(10) &amp; "• " &amp; 'الجدول'!O103 &amp; CHAR(10) &amp; "• " &amp; 'الجدول'!O104 &amp; CHAR(10) &amp; "• " &amp; 'الجدول'!O105 &amp; CHAR(10) &amp; CHAR(10)</f>
        <v>■■ ER ADMISSION-NIGHT-🚨🌙 ■■
• مريم السيد أحمد خيرالله
(01099882992)
• ----------
• ----------
• ----------
• ----------
• ----------
• ----------
• ----------
• ----------
■■ ER ADMISSIONS -DAY-🚨☀️ ■■
• مها حسين السيد
(01012349071)
• ----------
• ----------
• ----------
• ----------
• ----------
• ----------
• ----------
• ----------
■■ ER-clinic Day ☀️🚨 ■■
• دانه طارق
(01012809042)
• ----------
• ----------
• ----------
• ----------
• ----------
• ----------
• ----------
• ----------
■■ ER GENERAL-DAY-🚨☀️ ■■
• أحمد رجب محمد
(01273127265)
• بلال أحمد
(01066883767)
• احمد حسام الدين صلاح
(01065567736)
• رؤى أحمد عبدالحميد البليهي
(01021284862)
• مصطفى محمد علي محمد بدر
(01150245681)
• Mostafa Ismail
(01022400525)
• هديل نادي محند
(01033032220)
• استيفن مدحت منير
(01200226122)
• محمود محمد عبدالرحمن
(01023283048)
■■ ER GENERAL-NIGHT-🚨🌙 ■■
• حنان النبوى محمد
(01067888751)
• شدو محمد شلتوت
(1550336384)
• احمد ايهاب محمد عواد
(01032298339)
• تقى عماد حسني
(01119716276)
• كارين باسم صومائيل
(01274209975)
• محمد محمود ابراهيم
(01112057358)
• الاء الحداد
(01033882560)
• احمد ناصر
(01553479200)
• ----------
■■ ER PT-DAY-🚨☀️ ■■
• منار احمد سعيد
(01092708033)
• Youssef elsemary
(01126286820)
• مي خالد ابوزيد
(01023578224)
• روان ياسر سليم
(01005005160)
• مينا رومانى عبده
(01212866642)
• هديل هشام منصور الوشاحي
(01227221344)
• عمرو عبدالغفار حمزة
(01014246636)
• Sara Refaat
(01220039613)
• ----------
■■ ER PT-NIGHT-🚨🌙 ■■
• مي طارق نهاد
(01287477488)
• Marwan Ayman
(01149894940)
• Ziad said mohamed
(01028577876)
• منه الله هشام السيد
(01002996214)
• ريهام سعد عبدالرحمن
(01124867574)
• يوسف طه السيد
(01207620695)
• زينة أشرف حسين
(01067196820)
• شهاب احمد حلمي
(01055979002)
• Rawan Elessawy
(01010983040)
■■ ER TRIAGE-DAY-🚨☀️ ■■
• عمر محمد سيد
(01000688544)
• ----------
• ----------
• ----------
• ----------
• ----------
• ----------
• ----------
• ----------
■■ ER TRIAGE-NIGHT-🚨🌙 ■■
• بلال جودة
(01066199644)
• ----------
• ----------
• ----------
• ----------
• ----------
• ----------
• ----------
• ----------
■■ ER WARD-DAY-🚨☀️ ■■
• أعناب طارق عوض
(01146334179)
• منار عواد عبدالعال عواد
(01001915861)
• محمود عبد المحسن إبراهيم
(01062086612)
• منة السيد عبد الباقي
(01274588193)
• رنيم حاتم رفيق بسيسو
(01144758373)
• محمد خالد محمد
(01008204601)
• ----------
• ----------
• ----------
■■ ER WARD-NIGHT-🚨🌙 ■■
• محمد  الجمل
(01091463337)
• عبدالله احمد
(01020242571)
• احمد عزت الشيخ
(01226872660)
• نورهان محمد
(0112 826 8287)
• يوسف عاطف رزق الله
(01148183647)
• سندس أحمد سيد
(01156131096)
• ----------
• ----------
• ----------
■■ 🗡️LISTA ■■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</v>
      </c>
      <c r="C16" s="3" t="str">
        <f>HYPERLINK("#الجدول!A" &amp; 96, "الجدول الأساسي")</f>
        <v>الجدول الأساسي</v>
      </c>
    </row>
    <row r="17">
      <c r="A17" s="1" t="s">
        <v>97</v>
      </c>
      <c r="B17" s="5" t="str">
        <f>"" &amp; "■■ " &amp; 'الجدول'!B1 &amp; " ■■" &amp; CHAR(10) &amp; "• " &amp; 'الجدول'!B106 &amp; CHAR(10) &amp; "• " &amp; 'الجدول'!B107 &amp; CHAR(10) &amp; "• " &amp; 'الجدول'!B108 &amp; CHAR(10) &amp; "• " &amp; 'الجدول'!B109 &amp; CHAR(10) &amp; "• " &amp; 'الجدول'!B110 &amp; CHAR(10) &amp; "• " &amp; 'الجدول'!B111 &amp; CHAR(10) &amp; "• " &amp; 'الجدول'!B112 &amp; CHAR(10) &amp; "• " &amp; 'الجدول'!B113 &amp; CHAR(10) &amp; CHAR(10) &amp; "■■ " &amp; 'الجدول'!C1 &amp; " ■■" &amp; CHAR(10) &amp; "• " &amp; 'الجدول'!C106 &amp; CHAR(10) &amp; "• " &amp; 'الجدول'!C107 &amp; CHAR(10) &amp; "• " &amp; 'الجدول'!C108 &amp; CHAR(10) &amp; "• " &amp; 'الجدول'!C109 &amp; CHAR(10) &amp; "• " &amp; 'الجدول'!C110 &amp; CHAR(10) &amp; "• " &amp; 'الجدول'!C111 &amp; CHAR(10) &amp; "• " &amp; 'الجدول'!C112 &amp; CHAR(10) &amp; "• " &amp; 'الجدول'!C113 &amp; CHAR(10) &amp; CHAR(10) &amp; "■■ " &amp; 'الجدول'!D1 &amp; " ■■" &amp; CHAR(10) &amp; "• " &amp; 'الجدول'!D106 &amp; CHAR(10) &amp; "• " &amp; 'الجدول'!D107 &amp; CHAR(10) &amp; "• " &amp; 'الجدول'!D108 &amp; CHAR(10) &amp; "• " &amp; 'الجدول'!D109 &amp; CHAR(10) &amp; "• " &amp; 'الجدول'!D110 &amp; CHAR(10) &amp; "• " &amp; 'الجدول'!D111 &amp; CHAR(10) &amp; "• " &amp; 'الجدول'!D112 &amp; CHAR(10) &amp; "• " &amp; 'الجدول'!D113 &amp; CHAR(10) &amp; CHAR(10) &amp; "■■ " &amp; 'الجدول'!E1 &amp; " ■■" &amp; CHAR(10) &amp; "• " &amp; 'الجدول'!E106 &amp; CHAR(10) &amp; "• " &amp; 'الجدول'!E107 &amp; CHAR(10) &amp; "• " &amp; 'الجدول'!E108 &amp; CHAR(10) &amp; "• " &amp; 'الجدول'!E109 &amp; CHAR(10) &amp; "• " &amp; 'الجدول'!E110 &amp; CHAR(10) &amp; "• " &amp; 'الجدول'!E111 &amp; CHAR(10) &amp; "• " &amp; 'الجدول'!E112 &amp; CHAR(10) &amp; "• " &amp; 'الجدول'!E113 &amp; CHAR(10) &amp; CHAR(10) &amp; "■■ " &amp; 'الجدول'!F1 &amp; " ■■" &amp; CHAR(10) &amp; "• " &amp; 'الجدول'!F106 &amp; CHAR(10) &amp; "• " &amp; 'الجدول'!F107 &amp; CHAR(10) &amp; "• " &amp; 'الجدول'!F108 &amp; CHAR(10) &amp; "• " &amp; 'الجدول'!F109 &amp; CHAR(10) &amp; "• " &amp; 'الجدول'!F110 &amp; CHAR(10) &amp; "• " &amp; 'الجدول'!F111 &amp; CHAR(10) &amp; "• " &amp; 'الجدول'!F112 &amp; CHAR(10) &amp; "• " &amp; 'الجدول'!F113 &amp; CHAR(10) &amp; CHAR(10) &amp; "■■ " &amp; 'الجدول'!G1 &amp; " ■■" &amp; CHAR(10) &amp; "• " &amp; 'الجدول'!G106 &amp; CHAR(10) &amp; "• " &amp; 'الجدول'!G107 &amp; CHAR(10) &amp; "• " &amp; 'الجدول'!G108 &amp; CHAR(10) &amp; "• " &amp; 'الجدول'!G109 &amp; CHAR(10) &amp; "• " &amp; 'الجدول'!G110 &amp; CHAR(10) &amp; "• " &amp; 'الجدول'!G111 &amp; CHAR(10) &amp; "• " &amp; 'الجدول'!G112 &amp; CHAR(10) &amp; "• " &amp; 'الجدول'!G113 &amp; CHAR(10) &amp; CHAR(10) &amp; "■■ " &amp; 'الجدول'!H1 &amp; " ■■" &amp; CHAR(10) &amp; "• " &amp; 'الجدول'!H106 &amp; CHAR(10) &amp; "• " &amp; 'الجدول'!H107 &amp; CHAR(10) &amp; "• " &amp; 'الجدول'!H108 &amp; CHAR(10) &amp; "• " &amp; 'الجدول'!H109 &amp; CHAR(10) &amp; "• " &amp; 'الجدول'!H110 &amp; CHAR(10) &amp; "• " &amp; 'الجدول'!H111 &amp; CHAR(10) &amp; "• " &amp; 'الجدول'!H112 &amp; CHAR(10) &amp; "• " &amp; 'الجدول'!H113 &amp; CHAR(10) &amp; CHAR(10) &amp; "■■ " &amp; 'الجدول'!I1 &amp; " ■■" &amp; CHAR(10) &amp; "• " &amp; 'الجدول'!I106 &amp; CHAR(10) &amp; "• " &amp; 'الجدول'!I107 &amp; CHAR(10) &amp; "• " &amp; 'الجدول'!I108 &amp; CHAR(10) &amp; "• " &amp; 'الجدول'!I109 &amp; CHAR(10) &amp; "• " &amp; 'الجدول'!I110 &amp; CHAR(10) &amp; "• " &amp; 'الجدول'!I111 &amp; CHAR(10) &amp; "• " &amp; 'الجدول'!I112 &amp; CHAR(10) &amp; "• " &amp; 'الجدول'!I113 &amp; CHAR(10) &amp; CHAR(10) &amp; "■■ " &amp; 'الجدول'!J1 &amp; " ■■" &amp; CHAR(10) &amp; "• " &amp; 'الجدول'!J106 &amp; CHAR(10) &amp; "• " &amp; 'الجدول'!J107 &amp; CHAR(10) &amp; "• " &amp; 'الجدول'!J108 &amp; CHAR(10) &amp; "• " &amp; 'الجدول'!J109 &amp; CHAR(10) &amp; "• " &amp; 'الجدول'!J110 &amp; CHAR(10) &amp; "• " &amp; 'الجدول'!J111 &amp; CHAR(10) &amp; "• " &amp; 'الجدول'!J112 &amp; CHAR(10) &amp; "• " &amp; 'الجدول'!J113 &amp; CHAR(10) &amp; CHAR(10) &amp; "■■ " &amp; 'الجدول'!K1 &amp; " ■■" &amp; CHAR(10) &amp; "• " &amp; 'الجدول'!K106 &amp; CHAR(10) &amp; "• " &amp; 'الجدول'!K107 &amp; CHAR(10) &amp; "• " &amp; 'الجدول'!K108 &amp; CHAR(10) &amp; "• " &amp; 'الجدول'!K109 &amp; CHAR(10) &amp; "• " &amp; 'الجدول'!K110 &amp; CHAR(10) &amp; "• " &amp; 'الجدول'!K111 &amp; CHAR(10) &amp; "• " &amp; 'الجدول'!K112 &amp; CHAR(10) &amp; "• " &amp; 'الجدول'!K113 &amp; CHAR(10) &amp; CHAR(10) &amp; "■■ " &amp; 'الجدول'!L1 &amp; " ■■" &amp; CHAR(10) &amp; "• " &amp; 'الجدول'!L106 &amp; CHAR(10) &amp; "• " &amp; 'الجدول'!L107 &amp; CHAR(10) &amp; "• " &amp; 'الجدول'!L108 &amp; CHAR(10) &amp; "• " &amp; 'الجدول'!L109 &amp; CHAR(10) &amp; "• " &amp; 'الجدول'!L110 &amp; CHAR(10) &amp; "• " &amp; 'الجدول'!L111 &amp; CHAR(10) &amp; "• " &amp; 'الجدول'!L112 &amp; CHAR(10) &amp; "• " &amp; 'الجدول'!L113 &amp; CHAR(10) &amp; CHAR(10) &amp; "■■ " &amp; 'الجدول'!M1 &amp; " ■■" &amp; CHAR(10) &amp; "• " &amp; 'الجدول'!M106 &amp; CHAR(10) &amp; "• " &amp; 'الجدول'!M107 &amp; CHAR(10) &amp; "• " &amp; 'الجدول'!M108 &amp; CHAR(10) &amp; "• " &amp; 'الجدول'!M109 &amp; CHAR(10) &amp; "• " &amp; 'الجدول'!M110 &amp; CHAR(10) &amp; "• " &amp; 'الجدول'!M111 &amp; CHAR(10) &amp; "• " &amp; 'الجدول'!M112 &amp; CHAR(10) &amp; "• " &amp; 'الجدول'!M113 &amp; CHAR(10) &amp; CHAR(10) &amp; "■■ " &amp; 'الجدول'!N1 &amp; " ■■" &amp; CHAR(10) &amp; "• " &amp; 'الجدول'!N106 &amp; CHAR(10) &amp; "• " &amp; 'الجدول'!N107 &amp; CHAR(10) &amp; "• " &amp; 'الجدول'!N108 &amp; CHAR(10) &amp; "• " &amp; 'الجدول'!N109 &amp; CHAR(10) &amp; "• " &amp; 'الجدول'!N110 &amp; CHAR(10) &amp; "• " &amp; 'الجدول'!N111 &amp; CHAR(10) &amp; "• " &amp; 'الجدول'!N112 &amp; CHAR(10) &amp; "• " &amp; 'الجدول'!N113 &amp; CHAR(10) &amp; CHAR(10) &amp; "■■ " &amp; 'الجدول'!O1 &amp; " ■■" &amp; CHAR(10) &amp; "• " &amp; 'الجدول'!O106 &amp; CHAR(10) &amp; "• " &amp; 'الجدول'!O107 &amp; CHAR(10) &amp; "• " &amp; 'الجدول'!O108 &amp; CHAR(10) &amp; "• " &amp; 'الجدول'!O109 &amp; CHAR(10) &amp; "• " &amp; 'الجدول'!O110 &amp; CHAR(10) &amp; "• " &amp; 'الجدول'!O111 &amp; CHAR(10) &amp; "• " &amp; 'الجدول'!O112 &amp; CHAR(10) &amp; "• " &amp; 'الجدول'!O113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Youssef elsemary
(01126286820)
• منار عواد عبدالعال عواد
(01001915861)
• أحمد رجب محمد
(01273127265)
• رؤى أحمد عبدالحميد البليهي
(01021284862)
• محمد خالد محمد
(01008204601)
• شيماء رمضان سعد
(01021468731)
• بلال أحمد
(01066883767)
• منار احمد سعيد
(01092708033)
■■ WARD-NIGHT-🌙 ■■
• حنان النبوى محمد
(01067888751)
• هديل هشام منصور الوشاحي
(01227221344)
• مريم السيد أحمد خيرالله
(01099882992)
• الاء الحداد
(01033882560)
• شدو محمد شلتوت
(1550336384)
• ----------
• ----------
• ----------
</v>
      </c>
      <c r="C17" s="3" t="str">
        <f>HYPERLINK("#الجدول!A" &amp; 105, "الجدول الأساسي")</f>
        <v>الجدول الأساسي</v>
      </c>
    </row>
    <row r="18">
      <c r="A18" s="1" t="s">
        <v>98</v>
      </c>
      <c r="B18" s="5" t="str">
        <f>"" &amp; "■■ " &amp; 'الجدول'!B1 &amp; " ■■" &amp; CHAR(10) &amp; "• " &amp; 'الجدول'!B114 &amp; CHAR(10) &amp; "• " &amp; 'الجدول'!B115 &amp; CHAR(10) &amp; "• " &amp; 'الجدول'!B116 &amp; CHAR(10) &amp; "• " &amp; 'الجدول'!B117 &amp; CHAR(10) &amp; "• " &amp; 'الجدول'!B118 &amp; CHAR(10) &amp; "• " &amp; 'الجدول'!B119 &amp; CHAR(10) &amp; CHAR(10) &amp; "■■ " &amp; 'الجدول'!C1 &amp; " ■■" &amp; CHAR(10) &amp; "• " &amp; 'الجدول'!C114 &amp; CHAR(10) &amp; "• " &amp; 'الجدول'!C115 &amp; CHAR(10) &amp; "• " &amp; 'الجدول'!C116 &amp; CHAR(10) &amp; "• " &amp; 'الجدول'!C117 &amp; CHAR(10) &amp; "• " &amp; 'الجدول'!C118 &amp; CHAR(10) &amp; "• " &amp; 'الجدول'!C119 &amp; CHAR(10) &amp; CHAR(10) &amp; "■■ " &amp; 'الجدول'!D1 &amp; " ■■" &amp; CHAR(10) &amp; "• " &amp; 'الجدول'!D114 &amp; CHAR(10) &amp; "• " &amp; 'الجدول'!D115 &amp; CHAR(10) &amp; "• " &amp; 'الجدول'!D116 &amp; CHAR(10) &amp; "• " &amp; 'الجدول'!D117 &amp; CHAR(10) &amp; "• " &amp; 'الجدول'!D118 &amp; CHAR(10) &amp; "• " &amp; 'الجدول'!D119 &amp; CHAR(10) &amp; CHAR(10) &amp; "■■ " &amp; 'الجدول'!E1 &amp; " ■■" &amp; CHAR(10) &amp; "• " &amp; 'الجدول'!E114 &amp; CHAR(10) &amp; "• " &amp; 'الجدول'!E115 &amp; CHAR(10) &amp; "• " &amp; 'الجدول'!E116 &amp; CHAR(10) &amp; "• " &amp; 'الجدول'!E117 &amp; CHAR(10) &amp; "• " &amp; 'الجدول'!E118 &amp; CHAR(10) &amp; "• " &amp; 'الجدول'!E119 &amp; CHAR(10) &amp; CHAR(10) &amp; "■■ " &amp; 'الجدول'!F1 &amp; " ■■" &amp; CHAR(10) &amp; "• " &amp; 'الجدول'!F114 &amp; CHAR(10) &amp; "• " &amp; 'الجدول'!F115 &amp; CHAR(10) &amp; "• " &amp; 'الجدول'!F116 &amp; CHAR(10) &amp; "• " &amp; 'الجدول'!F117 &amp; CHAR(10) &amp; "• " &amp; 'الجدول'!F118 &amp; CHAR(10) &amp; "• " &amp; 'الجدول'!F119 &amp; CHAR(10) &amp; CHAR(10) &amp; "■■ " &amp; 'الجدول'!G1 &amp; " ■■" &amp; CHAR(10) &amp; "• " &amp; 'الجدول'!G114 &amp; CHAR(10) &amp; "• " &amp; 'الجدول'!G115 &amp; CHAR(10) &amp; "• " &amp; 'الجدول'!G116 &amp; CHAR(10) &amp; "• " &amp; 'الجدول'!G117 &amp; CHAR(10) &amp; "• " &amp; 'الجدول'!G118 &amp; CHAR(10) &amp; "• " &amp; 'الجدول'!G119 &amp; CHAR(10) &amp; CHAR(10) &amp; "■■ " &amp; 'الجدول'!H1 &amp; " ■■" &amp; CHAR(10) &amp; "• " &amp; 'الجدول'!H114 &amp; CHAR(10) &amp; "• " &amp; 'الجدول'!H115 &amp; CHAR(10) &amp; "• " &amp; 'الجدول'!H116 &amp; CHAR(10) &amp; "• " &amp; 'الجدول'!H117 &amp; CHAR(10) &amp; "• " &amp; 'الجدول'!H118 &amp; CHAR(10) &amp; "• " &amp; 'الجدول'!H119 &amp; CHAR(10) &amp; CHAR(10) &amp; "■■ " &amp; 'الجدول'!I1 &amp; " ■■" &amp; CHAR(10) &amp; "• " &amp; 'الجدول'!I114 &amp; CHAR(10) &amp; "• " &amp; 'الجدول'!I115 &amp; CHAR(10) &amp; "• " &amp; 'الجدول'!I116 &amp; CHAR(10) &amp; "• " &amp; 'الجدول'!I117 &amp; CHAR(10) &amp; "• " &amp; 'الجدول'!I118 &amp; CHAR(10) &amp; "• " &amp; 'الجدول'!I119 &amp; CHAR(10) &amp; CHAR(10) &amp; "■■ " &amp; 'الجدول'!J1 &amp; " ■■" &amp; CHAR(10) &amp; "• " &amp; 'الجدول'!J114 &amp; CHAR(10) &amp; "• " &amp; 'الجدول'!J115 &amp; CHAR(10) &amp; "• " &amp; 'الجدول'!J116 &amp; CHAR(10) &amp; "• " &amp; 'الجدول'!J117 &amp; CHAR(10) &amp; "• " &amp; 'الجدول'!J118 &amp; CHAR(10) &amp; "• " &amp; 'الجدول'!J119 &amp; CHAR(10) &amp; CHAR(10) &amp; "■■ " &amp; 'الجدول'!K1 &amp; " ■■" &amp; CHAR(10) &amp; "• " &amp; 'الجدول'!K114 &amp; CHAR(10) &amp; "• " &amp; 'الجدول'!K115 &amp; CHAR(10) &amp; "• " &amp; 'الجدول'!K116 &amp; CHAR(10) &amp; "• " &amp; 'الجدول'!K117 &amp; CHAR(10) &amp; "• " &amp; 'الجدول'!K118 &amp; CHAR(10) &amp; "• " &amp; 'الجدول'!K119 &amp; CHAR(10) &amp; CHAR(10) &amp; "■■ " &amp; 'الجدول'!L1 &amp; " ■■" &amp; CHAR(10) &amp; "• " &amp; 'الجدول'!L114 &amp; CHAR(10) &amp; "• " &amp; 'الجدول'!L115 &amp; CHAR(10) &amp; "• " &amp; 'الجدول'!L116 &amp; CHAR(10) &amp; "• " &amp; 'الجدول'!L117 &amp; CHAR(10) &amp; "• " &amp; 'الجدول'!L118 &amp; CHAR(10) &amp; "• " &amp; 'الجدول'!L119 &amp; CHAR(10) &amp; CHAR(10) &amp; "■■ " &amp; 'الجدول'!M1 &amp; " ■■" &amp; CHAR(10) &amp; "• " &amp; 'الجدول'!M114 &amp; CHAR(10) &amp; "• " &amp; 'الجدول'!M115 &amp; CHAR(10) &amp; "• " &amp; 'الجدول'!M116 &amp; CHAR(10) &amp; "• " &amp; 'الجدول'!M117 &amp; CHAR(10) &amp; "• " &amp; 'الجدول'!M118 &amp; CHAR(10) &amp; "• " &amp; 'الجدول'!M119 &amp; CHAR(10) &amp; CHAR(10) &amp; "■■ " &amp; 'الجدول'!N1 &amp; " ■■" &amp; CHAR(10) &amp; "• " &amp; 'الجدول'!N114 &amp; CHAR(10) &amp; "• " &amp; 'الجدول'!N115 &amp; CHAR(10) &amp; "• " &amp; 'الجدول'!N116 &amp; CHAR(10) &amp; "• " &amp; 'الجدول'!N117 &amp; CHAR(10) &amp; "• " &amp; 'الجدول'!N118 &amp; CHAR(10) &amp; "• " &amp; 'الجدول'!N119 &amp; CHAR(10) &amp; CHAR(10) &amp; "■■ " &amp; 'الجدول'!O1 &amp; " ■■" &amp; CHAR(10) &amp; "• " &amp; 'الجدول'!O114 &amp; CHAR(10) &amp; "• " &amp; 'الجدول'!O115 &amp; CHAR(10) &amp; "• " &amp; 'الجدول'!O116 &amp; CHAR(10) &amp; "• " &amp; 'الجدول'!O117 &amp; CHAR(10) &amp; "• " &amp; 'الجدول'!O118 &amp; CHAR(10) &amp; "• " &amp; 'الجدول'!O119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احمد حسام الدين صلاح
(01065567736)
• روان ياسر سليم
(01005005160)
• دانه طارق
(01012809042)
• ----------
• ----------
• ----------
■■ WARD-DAY-☀️ ■■
• رنيم حاتم رفيق بسيسو
(01144758373)
• محمود عبد المحسن إبراهيم
(01062086612)
• مها حسين السيد
(01012349071)
• استيفن مدحت منير
(01200226122)
• مصطفى محمد علي محمد بدر
(01150245681)
• مي خالد ابوزيد
(01023578224)
■■ WARD-NIGHT-🌙 ■■
• مي طارق نهاد
(01287477488)
• محمد محمود ابراهيم
(01112057358)
• يوسف عاطف رزق الله
(01148183647)
• كارين باسم صومائيل
(01274209975)
• ----------
• ----------
</v>
      </c>
      <c r="C18" s="3" t="str">
        <f>HYPERLINK("#الجدول!A" &amp; 113, "الجدول الأساسي")</f>
        <v>الجدول الأساسي</v>
      </c>
    </row>
    <row r="19">
      <c r="A19" s="1" t="s">
        <v>99</v>
      </c>
      <c r="B19" s="5" t="str">
        <f>"" &amp; "■■ " &amp; 'الجدول'!B1 &amp; " ■■" &amp; CHAR(10) &amp; "• " &amp; 'الجدول'!B120 &amp; CHAR(10) &amp; "• " &amp; 'الجدول'!B121 &amp; CHAR(10) &amp; "• " &amp; 'الجدول'!B122 &amp; CHAR(10) &amp; "• " &amp; 'الجدول'!B123 &amp; CHAR(10) &amp; "• " &amp; 'الجدول'!B124 &amp; CHAR(10) &amp; "• " &amp; 'الجدول'!B125 &amp; CHAR(10) &amp; CHAR(10) &amp; "■■ " &amp; 'الجدول'!C1 &amp; " ■■" &amp; CHAR(10) &amp; "• " &amp; 'الجدول'!C120 &amp; CHAR(10) &amp; "• " &amp; 'الجدول'!C121 &amp; CHAR(10) &amp; "• " &amp; 'الجدول'!C122 &amp; CHAR(10) &amp; "• " &amp; 'الجدول'!C123 &amp; CHAR(10) &amp; "• " &amp; 'الجدول'!C124 &amp; CHAR(10) &amp; "• " &amp; 'الجدول'!C125 &amp; CHAR(10) &amp; CHAR(10) &amp; "■■ " &amp; 'الجدول'!D1 &amp; " ■■" &amp; CHAR(10) &amp; "• " &amp; 'الجدول'!D120 &amp; CHAR(10) &amp; "• " &amp; 'الجدول'!D121 &amp; CHAR(10) &amp; "• " &amp; 'الجدول'!D122 &amp; CHAR(10) &amp; "• " &amp; 'الجدول'!D123 &amp; CHAR(10) &amp; "• " &amp; 'الجدول'!D124 &amp; CHAR(10) &amp; "• " &amp; 'الجدول'!D125 &amp; CHAR(10) &amp; CHAR(10) &amp; "■■ " &amp; 'الجدول'!E1 &amp; " ■■" &amp; CHAR(10) &amp; "• " &amp; 'الجدول'!E120 &amp; CHAR(10) &amp; "• " &amp; 'الجدول'!E121 &amp; CHAR(10) &amp; "• " &amp; 'الجدول'!E122 &amp; CHAR(10) &amp; "• " &amp; 'الجدول'!E123 &amp; CHAR(10) &amp; "• " &amp; 'الجدول'!E124 &amp; CHAR(10) &amp; "• " &amp; 'الجدول'!E125 &amp; CHAR(10) &amp; CHAR(10) &amp; "■■ " &amp; 'الجدول'!F1 &amp; " ■■" &amp; CHAR(10) &amp; "• " &amp; 'الجدول'!F120 &amp; CHAR(10) &amp; "• " &amp; 'الجدول'!F121 &amp; CHAR(10) &amp; "• " &amp; 'الجدول'!F122 &amp; CHAR(10) &amp; "• " &amp; 'الجدول'!F123 &amp; CHAR(10) &amp; "• " &amp; 'الجدول'!F124 &amp; CHAR(10) &amp; "• " &amp; 'الجدول'!F125 &amp; CHAR(10) &amp; CHAR(10) &amp; "■■ " &amp; 'الجدول'!G1 &amp; " ■■" &amp; CHAR(10) &amp; "• " &amp; 'الجدول'!G120 &amp; CHAR(10) &amp; "• " &amp; 'الجدول'!G121 &amp; CHAR(10) &amp; "• " &amp; 'الجدول'!G122 &amp; CHAR(10) &amp; "• " &amp; 'الجدول'!G123 &amp; CHAR(10) &amp; "• " &amp; 'الجدول'!G124 &amp; CHAR(10) &amp; "• " &amp; 'الجدول'!G125 &amp; CHAR(10) &amp; CHAR(10) &amp; "■■ " &amp; 'الجدول'!H1 &amp; " ■■" &amp; CHAR(10) &amp; "• " &amp; 'الجدول'!H120 &amp; CHAR(10) &amp; "• " &amp; 'الجدول'!H121 &amp; CHAR(10) &amp; "• " &amp; 'الجدول'!H122 &amp; CHAR(10) &amp; "• " &amp; 'الجدول'!H123 &amp; CHAR(10) &amp; "• " &amp; 'الجدول'!H124 &amp; CHAR(10) &amp; "• " &amp; 'الجدول'!H125 &amp; CHAR(10) &amp; CHAR(10) &amp; "■■ " &amp; 'الجدول'!I1 &amp; " ■■" &amp; CHAR(10) &amp; "• " &amp; 'الجدول'!I120 &amp; CHAR(10) &amp; "• " &amp; 'الجدول'!I121 &amp; CHAR(10) &amp; "• " &amp; 'الجدول'!I122 &amp; CHAR(10) &amp; "• " &amp; 'الجدول'!I123 &amp; CHAR(10) &amp; "• " &amp; 'الجدول'!I124 &amp; CHAR(10) &amp; "• " &amp; 'الجدول'!I125 &amp; CHAR(10) &amp; CHAR(10) &amp; "■■ " &amp; 'الجدول'!J1 &amp; " ■■" &amp; CHAR(10) &amp; "• " &amp; 'الجدول'!J120 &amp; CHAR(10) &amp; "• " &amp; 'الجدول'!J121 &amp; CHAR(10) &amp; "• " &amp; 'الجدول'!J122 &amp; CHAR(10) &amp; "• " &amp; 'الجدول'!J123 &amp; CHAR(10) &amp; "• " &amp; 'الجدول'!J124 &amp; CHAR(10) &amp; "• " &amp; 'الجدول'!J125 &amp; CHAR(10) &amp; CHAR(10) &amp; "■■ " &amp; 'الجدول'!K1 &amp; " ■■" &amp; CHAR(10) &amp; "• " &amp; 'الجدول'!K120 &amp; CHAR(10) &amp; "• " &amp; 'الجدول'!K121 &amp; CHAR(10) &amp; "• " &amp; 'الجدول'!K122 &amp; CHAR(10) &amp; "• " &amp; 'الجدول'!K123 &amp; CHAR(10) &amp; "• " &amp; 'الجدول'!K124 &amp; CHAR(10) &amp; "• " &amp; 'الجدول'!K125 &amp; CHAR(10) &amp; CHAR(10) &amp; "■■ " &amp; 'الجدول'!L1 &amp; " ■■" &amp; CHAR(10) &amp; "• " &amp; 'الجدول'!L120 &amp; CHAR(10) &amp; "• " &amp; 'الجدول'!L121 &amp; CHAR(10) &amp; "• " &amp; 'الجدول'!L122 &amp; CHAR(10) &amp; "• " &amp; 'الجدول'!L123 &amp; CHAR(10) &amp; "• " &amp; 'الجدول'!L124 &amp; CHAR(10) &amp; "• " &amp; 'الجدول'!L125 &amp; CHAR(10) &amp; CHAR(10) &amp; "■■ " &amp; 'الجدول'!M1 &amp; " ■■" &amp; CHAR(10) &amp; "• " &amp; 'الجدول'!M120 &amp; CHAR(10) &amp; "• " &amp; 'الجدول'!M121 &amp; CHAR(10) &amp; "• " &amp; 'الجدول'!M122 &amp; CHAR(10) &amp; "• " &amp; 'الجدول'!M123 &amp; CHAR(10) &amp; "• " &amp; 'الجدول'!M124 &amp; CHAR(10) &amp; "• " &amp; 'الجدول'!M125 &amp; CHAR(10) &amp; CHAR(10) &amp; "■■ " &amp; 'الجدول'!N1 &amp; " ■■" &amp; CHAR(10) &amp; "• " &amp; 'الجدول'!N120 &amp; CHAR(10) &amp; "• " &amp; 'الجدول'!N121 &amp; CHAR(10) &amp; "• " &amp; 'الجدول'!N122 &amp; CHAR(10) &amp; "• " &amp; 'الجدول'!N123 &amp; CHAR(10) &amp; "• " &amp; 'الجدول'!N124 &amp; CHAR(10) &amp; "• " &amp; 'الجدول'!N125 &amp; CHAR(10) &amp; CHAR(10) &amp; "■■ " &amp; 'الجدول'!O1 &amp; " ■■" &amp; CHAR(10) &amp; "• " &amp; 'الجدول'!O120 &amp; CHAR(10) &amp; "• " &amp; 'الجدول'!O121 &amp; CHAR(10) &amp; "• " &amp; 'الجدول'!O122 &amp; CHAR(10) &amp; "• " &amp; 'الجدول'!O123 &amp; CHAR(10) &amp; "• " &amp; 'الجدول'!O124 &amp; CHAR(10) &amp; "• " &amp; 'الجدول'!O125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بلال جودة
(01066199644)
• مينا رومانى عبده
(01212866642)
• منة السيد عبد الباقي
(01274588193)
• عبدالمسيح مكرم
(01203267885)
• سلمى أبوالعلا
(01124166114)
• روان ياسر سليم
(01005005160)
■■ WARD-NIGHT-🌙 ■■
• سندس أحمد سيد
(01156131096)
• كارين باسم صومائيل
(01274209975)
• عمر حسن محمد حسن حجازي
(01019701020)
• أحمد زيدان
(01110524147)
• ----------
• ----------
</v>
      </c>
      <c r="C19" s="3" t="str">
        <f>HYPERLINK("#الجدول!A" &amp; 119, "الجدول الأساسي")</f>
        <v>الجدول الأساسي</v>
      </c>
    </row>
    <row r="20">
      <c r="A20" s="1" t="s">
        <v>100</v>
      </c>
      <c r="B20" s="5" t="str">
        <f>"" &amp; "■■ " &amp; 'الجدول'!B1 &amp; " ■■" &amp; CHAR(10) &amp; "• " &amp; 'الجدول'!B126 &amp; CHAR(10) &amp; "• " &amp; 'الجدول'!B127 &amp; CHAR(10) &amp; "• " &amp; 'الجدول'!B128 &amp; CHAR(10) &amp; "• " &amp; 'الجدول'!B129 &amp; CHAR(10) &amp; "• " &amp; 'الجدول'!B130 &amp; CHAR(10) &amp; CHAR(10) &amp; "■■ " &amp; 'الجدول'!C1 &amp; " ■■" &amp; CHAR(10) &amp; "• " &amp; 'الجدول'!C126 &amp; CHAR(10) &amp; "• " &amp; 'الجدول'!C127 &amp; CHAR(10) &amp; "• " &amp; 'الجدول'!C128 &amp; CHAR(10) &amp; "• " &amp; 'الجدول'!C129 &amp; CHAR(10) &amp; "• " &amp; 'الجدول'!C130 &amp; CHAR(10) &amp; CHAR(10) &amp; "■■ " &amp; 'الجدول'!D1 &amp; " ■■" &amp; CHAR(10) &amp; "• " &amp; 'الجدول'!D126 &amp; CHAR(10) &amp; "• " &amp; 'الجدول'!D127 &amp; CHAR(10) &amp; "• " &amp; 'الجدول'!D128 &amp; CHAR(10) &amp; "• " &amp; 'الجدول'!D129 &amp; CHAR(10) &amp; "• " &amp; 'الجدول'!D130 &amp; CHAR(10) &amp; CHAR(10) &amp; "■■ " &amp; 'الجدول'!E1 &amp; " ■■" &amp; CHAR(10) &amp; "• " &amp; 'الجدول'!E126 &amp; CHAR(10) &amp; "• " &amp; 'الجدول'!E127 &amp; CHAR(10) &amp; "• " &amp; 'الجدول'!E128 &amp; CHAR(10) &amp; "• " &amp; 'الجدول'!E129 &amp; CHAR(10) &amp; "• " &amp; 'الجدول'!E130 &amp; CHAR(10) &amp; CHAR(10) &amp; "■■ " &amp; 'الجدول'!F1 &amp; " ■■" &amp; CHAR(10) &amp; "• " &amp; 'الجدول'!F126 &amp; CHAR(10) &amp; "• " &amp; 'الجدول'!F127 &amp; CHAR(10) &amp; "• " &amp; 'الجدول'!F128 &amp; CHAR(10) &amp; "• " &amp; 'الجدول'!F129 &amp; CHAR(10) &amp; "• " &amp; 'الجدول'!F130 &amp; CHAR(10) &amp; CHAR(10) &amp; "■■ " &amp; 'الجدول'!G1 &amp; " ■■" &amp; CHAR(10) &amp; "• " &amp; 'الجدول'!G126 &amp; CHAR(10) &amp; "• " &amp; 'الجدول'!G127 &amp; CHAR(10) &amp; "• " &amp; 'الجدول'!G128 &amp; CHAR(10) &amp; "• " &amp; 'الجدول'!G129 &amp; CHAR(10) &amp; "• " &amp; 'الجدول'!G130 &amp; CHAR(10) &amp; CHAR(10) &amp; "■■ " &amp; 'الجدول'!H1 &amp; " ■■" &amp; CHAR(10) &amp; "• " &amp; 'الجدول'!H126 &amp; CHAR(10) &amp; "• " &amp; 'الجدول'!H127 &amp; CHAR(10) &amp; "• " &amp; 'الجدول'!H128 &amp; CHAR(10) &amp; "• " &amp; 'الجدول'!H129 &amp; CHAR(10) &amp; "• " &amp; 'الجدول'!H130 &amp; CHAR(10) &amp; CHAR(10) &amp; "■■ " &amp; 'الجدول'!I1 &amp; " ■■" &amp; CHAR(10) &amp; "• " &amp; 'الجدول'!I126 &amp; CHAR(10) &amp; "• " &amp; 'الجدول'!I127 &amp; CHAR(10) &amp; "• " &amp; 'الجدول'!I128 &amp; CHAR(10) &amp; "• " &amp; 'الجدول'!I129 &amp; CHAR(10) &amp; "• " &amp; 'الجدول'!I130 &amp; CHAR(10) &amp; CHAR(10) &amp; "■■ " &amp; 'الجدول'!J1 &amp; " ■■" &amp; CHAR(10) &amp; "• " &amp; 'الجدول'!J126 &amp; CHAR(10) &amp; "• " &amp; 'الجدول'!J127 &amp; CHAR(10) &amp; "• " &amp; 'الجدول'!J128 &amp; CHAR(10) &amp; "• " &amp; 'الجدول'!J129 &amp; CHAR(10) &amp; "• " &amp; 'الجدول'!J130 &amp; CHAR(10) &amp; CHAR(10) &amp; "■■ " &amp; 'الجدول'!K1 &amp; " ■■" &amp; CHAR(10) &amp; "• " &amp; 'الجدول'!K126 &amp; CHAR(10) &amp; "• " &amp; 'الجدول'!K127 &amp; CHAR(10) &amp; "• " &amp; 'الجدول'!K128 &amp; CHAR(10) &amp; "• " &amp; 'الجدول'!K129 &amp; CHAR(10) &amp; "• " &amp; 'الجدول'!K130 &amp; CHAR(10) &amp; CHAR(10) &amp; "■■ " &amp; 'الجدول'!L1 &amp; " ■■" &amp; CHAR(10) &amp; "• " &amp; 'الجدول'!L126 &amp; CHAR(10) &amp; "• " &amp; 'الجدول'!L127 &amp; CHAR(10) &amp; "• " &amp; 'الجدول'!L128 &amp; CHAR(10) &amp; "• " &amp; 'الجدول'!L129 &amp; CHAR(10) &amp; "• " &amp; 'الجدول'!L130 &amp; CHAR(10) &amp; CHAR(10) &amp; "■■ " &amp; 'الجدول'!M1 &amp; " ■■" &amp; CHAR(10) &amp; "• " &amp; 'الجدول'!M126 &amp; CHAR(10) &amp; "• " &amp; 'الجدول'!M127 &amp; CHAR(10) &amp; "• " &amp; 'الجدول'!M128 &amp; CHAR(10) &amp; "• " &amp; 'الجدول'!M129 &amp; CHAR(10) &amp; "• " &amp; 'الجدول'!M130 &amp; CHAR(10) &amp; CHAR(10) &amp; "■■ " &amp; 'الجدول'!N1 &amp; " ■■" &amp; CHAR(10) &amp; "• " &amp; 'الجدول'!N126 &amp; CHAR(10) &amp; "• " &amp; 'الجدول'!N127 &amp; CHAR(10) &amp; "• " &amp; 'الجدول'!N128 &amp; CHAR(10) &amp; "• " &amp; 'الجدول'!N129 &amp; CHAR(10) &amp; "• " &amp; 'الجدول'!N130 &amp; CHAR(10) &amp; CHAR(10) &amp; "■■ " &amp; 'الجدول'!O1 &amp; " ■■" &amp; CHAR(10) &amp; "• " &amp; 'الجدول'!O126 &amp; CHAR(10) &amp; "• " &amp; 'الجدول'!O127 &amp; CHAR(10) &amp; "• " &amp; 'الجدول'!O128 &amp; CHAR(10) &amp; "• " &amp; 'الجدول'!O129 &amp; CHAR(10) &amp; "• " &amp; 'الجدول'!O130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احمدنوید قیومی
(01104573242)
• كارين روماني راشد
(01102663062)
• مصطفى محمد علي محمد بدر
(01150245681)
• منه الله هشام السيد
(01002996214)
• محمد عمرو محمد عبدالباقي
(01151653320)
■■ WARD-NIGHT-🌙 ■■
• Marwan Ayman
(01149894940)
• ريهام سعد عبدالرحمن
(01124867574)
• رنا اكرم احمد
(01122182132)
• ----------
• ----------
</v>
      </c>
      <c r="C20" s="3" t="str">
        <f>HYPERLINK("#الجدول!A" &amp; 125, "الجدول الأساسي")</f>
        <v>الجدول الأساسي</v>
      </c>
    </row>
    <row r="21" ht="15.75" customHeight="1">
      <c r="A21" s="1" t="s">
        <v>101</v>
      </c>
      <c r="B21" s="5" t="str">
        <f>"" &amp; "■■ " &amp; 'الجدول'!B1 &amp; " ■■" &amp; CHAR(10) &amp; "• " &amp; 'الجدول'!B131 &amp; CHAR(10) &amp; "• " &amp; 'الجدول'!B132 &amp; CHAR(10) &amp; "• " &amp; 'الجدول'!B133 &amp; CHAR(10) &amp; "• " &amp; 'الجدول'!B134 &amp; CHAR(10) &amp; "• " &amp; 'الجدول'!B135 &amp; CHAR(10) &amp; CHAR(10) &amp; "■■ " &amp; 'الجدول'!C1 &amp; " ■■" &amp; CHAR(10) &amp; "• " &amp; 'الجدول'!C131 &amp; CHAR(10) &amp; "• " &amp; 'الجدول'!C132 &amp; CHAR(10) &amp; "• " &amp; 'الجدول'!C133 &amp; CHAR(10) &amp; "• " &amp; 'الجدول'!C134 &amp; CHAR(10) &amp; "• " &amp; 'الجدول'!C135 &amp; CHAR(10) &amp; CHAR(10) &amp; "■■ " &amp; 'الجدول'!D1 &amp; " ■■" &amp; CHAR(10) &amp; "• " &amp; 'الجدول'!D131 &amp; CHAR(10) &amp; "• " &amp; 'الجدول'!D132 &amp; CHAR(10) &amp; "• " &amp; 'الجدول'!D133 &amp; CHAR(10) &amp; "• " &amp; 'الجدول'!D134 &amp; CHAR(10) &amp; "• " &amp; 'الجدول'!D135 &amp; CHAR(10) &amp; CHAR(10) &amp; "■■ " &amp; 'الجدول'!E1 &amp; " ■■" &amp; CHAR(10) &amp; "• " &amp; 'الجدول'!E131 &amp; CHAR(10) &amp; "• " &amp; 'الجدول'!E132 &amp; CHAR(10) &amp; "• " &amp; 'الجدول'!E133 &amp; CHAR(10) &amp; "• " &amp; 'الجدول'!E134 &amp; CHAR(10) &amp; "• " &amp; 'الجدول'!E135 &amp; CHAR(10) &amp; CHAR(10) &amp; "■■ " &amp; 'الجدول'!F1 &amp; " ■■" &amp; CHAR(10) &amp; "• " &amp; 'الجدول'!F131 &amp; CHAR(10) &amp; "• " &amp; 'الجدول'!F132 &amp; CHAR(10) &amp; "• " &amp; 'الجدول'!F133 &amp; CHAR(10) &amp; "• " &amp; 'الجدول'!F134 &amp; CHAR(10) &amp; "• " &amp; 'الجدول'!F135 &amp; CHAR(10) &amp; CHAR(10) &amp; "■■ " &amp; 'الجدول'!G1 &amp; " ■■" &amp; CHAR(10) &amp; "• " &amp; 'الجدول'!G131 &amp; CHAR(10) &amp; "• " &amp; 'الجدول'!G132 &amp; CHAR(10) &amp; "• " &amp; 'الجدول'!G133 &amp; CHAR(10) &amp; "• " &amp; 'الجدول'!G134 &amp; CHAR(10) &amp; "• " &amp; 'الجدول'!G135 &amp; CHAR(10) &amp; CHAR(10) &amp; "■■ " &amp; 'الجدول'!H1 &amp; " ■■" &amp; CHAR(10) &amp; "• " &amp; 'الجدول'!H131 &amp; CHAR(10) &amp; "• " &amp; 'الجدول'!H132 &amp; CHAR(10) &amp; "• " &amp; 'الجدول'!H133 &amp; CHAR(10) &amp; "• " &amp; 'الجدول'!H134 &amp; CHAR(10) &amp; "• " &amp; 'الجدول'!H135 &amp; CHAR(10) &amp; CHAR(10) &amp; "■■ " &amp; 'الجدول'!I1 &amp; " ■■" &amp; CHAR(10) &amp; "• " &amp; 'الجدول'!I131 &amp; CHAR(10) &amp; "• " &amp; 'الجدول'!I132 &amp; CHAR(10) &amp; "• " &amp; 'الجدول'!I133 &amp; CHAR(10) &amp; "• " &amp; 'الجدول'!I134 &amp; CHAR(10) &amp; "• " &amp; 'الجدول'!I135 &amp; CHAR(10) &amp; CHAR(10) &amp; "■■ " &amp; 'الجدول'!J1 &amp; " ■■" &amp; CHAR(10) &amp; "• " &amp; 'الجدول'!J131 &amp; CHAR(10) &amp; "• " &amp; 'الجدول'!J132 &amp; CHAR(10) &amp; "• " &amp; 'الجدول'!J133 &amp; CHAR(10) &amp; "• " &amp; 'الجدول'!J134 &amp; CHAR(10) &amp; "• " &amp; 'الجدول'!J135 &amp; CHAR(10) &amp; CHAR(10) &amp; "■■ " &amp; 'الجدول'!K1 &amp; " ■■" &amp; CHAR(10) &amp; "• " &amp; 'الجدول'!K131 &amp; CHAR(10) &amp; "• " &amp; 'الجدول'!K132 &amp; CHAR(10) &amp; "• " &amp; 'الجدول'!K133 &amp; CHAR(10) &amp; "• " &amp; 'الجدول'!K134 &amp; CHAR(10) &amp; "• " &amp; 'الجدول'!K135 &amp; CHAR(10) &amp; CHAR(10) &amp; "■■ " &amp; 'الجدول'!L1 &amp; " ■■" &amp; CHAR(10) &amp; "• " &amp; 'الجدول'!L131 &amp; CHAR(10) &amp; "• " &amp; 'الجدول'!L132 &amp; CHAR(10) &amp; "• " &amp; 'الجدول'!L133 &amp; CHAR(10) &amp; "• " &amp; 'الجدول'!L134 &amp; CHAR(10) &amp; "• " &amp; 'الجدول'!L135 &amp; CHAR(10) &amp; CHAR(10) &amp; "■■ " &amp; 'الجدول'!M1 &amp; " ■■" &amp; CHAR(10) &amp; "• " &amp; 'الجدول'!M131 &amp; CHAR(10) &amp; "• " &amp; 'الجدول'!M132 &amp; CHAR(10) &amp; "• " &amp; 'الجدول'!M133 &amp; CHAR(10) &amp; "• " &amp; 'الجدول'!M134 &amp; CHAR(10) &amp; "• " &amp; 'الجدول'!M135 &amp; CHAR(10) &amp; CHAR(10) &amp; "■■ " &amp; 'الجدول'!N1 &amp; " ■■" &amp; CHAR(10) &amp; "• " &amp; 'الجدول'!N131 &amp; CHAR(10) &amp; "• " &amp; 'الجدول'!N132 &amp; CHAR(10) &amp; "• " &amp; 'الجدول'!N133 &amp; CHAR(10) &amp; "• " &amp; 'الجدول'!N134 &amp; CHAR(10) &amp; "• " &amp; 'الجدول'!N135 &amp; CHAR(10) &amp; CHAR(10) &amp; "■■ " &amp; 'الجدول'!O1 &amp; " ■■" &amp; CHAR(10) &amp; "• " &amp; 'الجدول'!O131 &amp; CHAR(10) &amp; "• " &amp; 'الجدول'!O132 &amp; CHAR(10) &amp; "• " &amp; 'الجدول'!O133 &amp; CHAR(10) &amp; "• " &amp; 'الجدول'!O134 &amp; CHAR(10) &amp; "• " &amp; 'الجدول'!O135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أعناب طارق عوض
(01146334179)
• احمد ايهاب محمد عواد
(01032298339)
• تقى عماد حسني
(01119716276)
• عمرو وائل سرور
(01023140340)
• Rawan Elessawy
(01010983040)
■■ WARD-NIGHT-🌙 ■■
• عبدالله احمد
(01020242571)
• احمد حسين أحمد
(01001877491)
• شدو محمد شلتوت
(1550336384)
• يوسف طه السيد
(01207620695)
• ----------
</v>
      </c>
      <c r="C21" s="3" t="str">
        <f>HYPERLINK("#الجدول!A" &amp; 130, "الجدول الأساسي")</f>
        <v>الجدول الأساسي</v>
      </c>
    </row>
    <row r="22" ht="15.75" customHeight="1">
      <c r="A22" s="1" t="s">
        <v>102</v>
      </c>
      <c r="B22" s="5" t="str">
        <f>"" &amp; "■■ " &amp; 'الجدول'!B1 &amp; " ■■" &amp; CHAR(10) &amp; "• " &amp; 'الجدول'!B136 &amp; CHAR(10) &amp; "• " &amp; 'الجدول'!B137 &amp; CHAR(10) &amp; "• " &amp; 'الجدول'!B138 &amp; CHAR(10) &amp; "• " &amp; 'الجدول'!B139 &amp; CHAR(10) &amp; "• " &amp; 'الجدول'!B140 &amp; CHAR(10) &amp; CHAR(10) &amp; "■■ " &amp; 'الجدول'!C1 &amp; " ■■" &amp; CHAR(10) &amp; "• " &amp; 'الجدول'!C136 &amp; CHAR(10) &amp; "• " &amp; 'الجدول'!C137 &amp; CHAR(10) &amp; "• " &amp; 'الجدول'!C138 &amp; CHAR(10) &amp; "• " &amp; 'الجدول'!C139 &amp; CHAR(10) &amp; "• " &amp; 'الجدول'!C140 &amp; CHAR(10) &amp; CHAR(10) &amp; "■■ " &amp; 'الجدول'!D1 &amp; " ■■" &amp; CHAR(10) &amp; "• " &amp; 'الجدول'!D136 &amp; CHAR(10) &amp; "• " &amp; 'الجدول'!D137 &amp; CHAR(10) &amp; "• " &amp; 'الجدول'!D138 &amp; CHAR(10) &amp; "• " &amp; 'الجدول'!D139 &amp; CHAR(10) &amp; "• " &amp; 'الجدول'!D140 &amp; CHAR(10) &amp; CHAR(10) &amp; "■■ " &amp; 'الجدول'!E1 &amp; " ■■" &amp; CHAR(10) &amp; "• " &amp; 'الجدول'!E136 &amp; CHAR(10) &amp; "• " &amp; 'الجدول'!E137 &amp; CHAR(10) &amp; "• " &amp; 'الجدول'!E138 &amp; CHAR(10) &amp; "• " &amp; 'الجدول'!E139 &amp; CHAR(10) &amp; "• " &amp; 'الجدول'!E140 &amp; CHAR(10) &amp; CHAR(10) &amp; "■■ " &amp; 'الجدول'!F1 &amp; " ■■" &amp; CHAR(10) &amp; "• " &amp; 'الجدول'!F136 &amp; CHAR(10) &amp; "• " &amp; 'الجدول'!F137 &amp; CHAR(10) &amp; "• " &amp; 'الجدول'!F138 &amp; CHAR(10) &amp; "• " &amp; 'الجدول'!F139 &amp; CHAR(10) &amp; "• " &amp; 'الجدول'!F140 &amp; CHAR(10) &amp; CHAR(10) &amp; "■■ " &amp; 'الجدول'!G1 &amp; " ■■" &amp; CHAR(10) &amp; "• " &amp; 'الجدول'!G136 &amp; CHAR(10) &amp; "• " &amp; 'الجدول'!G137 &amp; CHAR(10) &amp; "• " &amp; 'الجدول'!G138 &amp; CHAR(10) &amp; "• " &amp; 'الجدول'!G139 &amp; CHAR(10) &amp; "• " &amp; 'الجدول'!G140 &amp; CHAR(10) &amp; CHAR(10) &amp; "■■ " &amp; 'الجدول'!H1 &amp; " ■■" &amp; CHAR(10) &amp; "• " &amp; 'الجدول'!H136 &amp; CHAR(10) &amp; "• " &amp; 'الجدول'!H137 &amp; CHAR(10) &amp; "• " &amp; 'الجدول'!H138 &amp; CHAR(10) &amp; "• " &amp; 'الجدول'!H139 &amp; CHAR(10) &amp; "• " &amp; 'الجدول'!H140 &amp; CHAR(10) &amp; CHAR(10) &amp; "■■ " &amp; 'الجدول'!I1 &amp; " ■■" &amp; CHAR(10) &amp; "• " &amp; 'الجدول'!I136 &amp; CHAR(10) &amp; "• " &amp; 'الجدول'!I137 &amp; CHAR(10) &amp; "• " &amp; 'الجدول'!I138 &amp; CHAR(10) &amp; "• " &amp; 'الجدول'!I139 &amp; CHAR(10) &amp; "• " &amp; 'الجدول'!I140 &amp; CHAR(10) &amp; CHAR(10) &amp; "■■ " &amp; 'الجدول'!J1 &amp; " ■■" &amp; CHAR(10) &amp; "• " &amp; 'الجدول'!J136 &amp; CHAR(10) &amp; "• " &amp; 'الجدول'!J137 &amp; CHAR(10) &amp; "• " &amp; 'الجدول'!J138 &amp; CHAR(10) &amp; "• " &amp; 'الجدول'!J139 &amp; CHAR(10) &amp; "• " &amp; 'الجدول'!J140 &amp; CHAR(10) &amp; CHAR(10) &amp; "■■ " &amp; 'الجدول'!K1 &amp; " ■■" &amp; CHAR(10) &amp; "• " &amp; 'الجدول'!K136 &amp; CHAR(10) &amp; "• " &amp; 'الجدول'!K137 &amp; CHAR(10) &amp; "• " &amp; 'الجدول'!K138 &amp; CHAR(10) &amp; "• " &amp; 'الجدول'!K139 &amp; CHAR(10) &amp; "• " &amp; 'الجدول'!K140 &amp; CHAR(10) &amp; CHAR(10) &amp; "■■ " &amp; 'الجدول'!L1 &amp; " ■■" &amp; CHAR(10) &amp; "• " &amp; 'الجدول'!L136 &amp; CHAR(10) &amp; "• " &amp; 'الجدول'!L137 &amp; CHAR(10) &amp; "• " &amp; 'الجدول'!L138 &amp; CHAR(10) &amp; "• " &amp; 'الجدول'!L139 &amp; CHAR(10) &amp; "• " &amp; 'الجدول'!L140 &amp; CHAR(10) &amp; CHAR(10) &amp; "■■ " &amp; 'الجدول'!M1 &amp; " ■■" &amp; CHAR(10) &amp; "• " &amp; 'الجدول'!M136 &amp; CHAR(10) &amp; "• " &amp; 'الجدول'!M137 &amp; CHAR(10) &amp; "• " &amp; 'الجدول'!M138 &amp; CHAR(10) &amp; "• " &amp; 'الجدول'!M139 &amp; CHAR(10) &amp; "• " &amp; 'الجدول'!M140 &amp; CHAR(10) &amp; CHAR(10) &amp; "■■ " &amp; 'الجدول'!N1 &amp; " ■■" &amp; CHAR(10) &amp; "• " &amp; 'الجدول'!N136 &amp; CHAR(10) &amp; "• " &amp; 'الجدول'!N137 &amp; CHAR(10) &amp; "• " &amp; 'الجدول'!N138 &amp; CHAR(10) &amp; "• " &amp; 'الجدول'!N139 &amp; CHAR(10) &amp; "• " &amp; 'الجدول'!N140 &amp; CHAR(10) &amp; CHAR(10) &amp; "■■ " &amp; 'الجدول'!O1 &amp; " ■■" &amp; CHAR(10) &amp; "• " &amp; 'الجدول'!O136 &amp; CHAR(10) &amp; "• " &amp; 'الجدول'!O137 &amp; CHAR(10) &amp; "• " &amp; 'الجدول'!O138 &amp; CHAR(10) &amp; "• " &amp; 'الجدول'!O139 &amp; CHAR(10) &amp; "• " &amp; 'الجدول'!O140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منة السيد عبد الباقي
(01274588193)
• ملك محمد فؤاد
(01001721072)
• مريم السيد أحمد خيرالله
(01099882992)
• ----------
• ----------
■■ WARD-DAY-☀️ ■■
• مصطفى محمد علي محمد بدر
(01150245681)
• منه الله هشام السيد
(01002996214)
• هديل هشام منصور الوشاحي
(01227221344)
• احمد ناصر
(01553479200)
• Rawan Elessawy
(01010983040)
■■ WARD-NIGHT-🌙 ■■
• عمرو عبدالغفار حمزة
(01014246636)
• يوسف عاطف رزق الله
(01148183647)
• احمد ايهاب محمد عواد
(01032298339)
• ----------
• ----------
</v>
      </c>
      <c r="C22" s="3" t="str">
        <f>HYPERLINK("#الجدول!A" &amp; 135, "الجدول الأساسي")</f>
        <v>الجدول الأساسي</v>
      </c>
    </row>
    <row r="23" ht="15.75" customHeight="1">
      <c r="A23" s="1" t="s">
        <v>103</v>
      </c>
      <c r="B23" s="5" t="str">
        <f>"" &amp; "■■ " &amp; 'الجدول'!B1 &amp; " ■■" &amp; CHAR(10) &amp; "• " &amp; 'الجدول'!B141 &amp; CHAR(10) &amp; "• " &amp; 'الجدول'!B142 &amp; CHAR(10) &amp; "• " &amp; 'الجدول'!B143 &amp; CHAR(10) &amp; "• " &amp; 'الجدول'!B144 &amp; CHAR(10) &amp; "• " &amp; 'الجدول'!B145 &amp; CHAR(10) &amp; "• " &amp; 'الجدول'!B146 &amp; CHAR(10) &amp; "• " &amp; 'الجدول'!B147 &amp; CHAR(10) &amp; "• " &amp; 'الجدول'!B148 &amp; CHAR(10) &amp; "• " &amp; 'الجدول'!B149 &amp; CHAR(10) &amp; CHAR(10) &amp; "■■ " &amp; 'الجدول'!C1 &amp; " ■■" &amp; CHAR(10) &amp; "• " &amp; 'الجدول'!C141 &amp; CHAR(10) &amp; "• " &amp; 'الجدول'!C142 &amp; CHAR(10) &amp; "• " &amp; 'الجدول'!C143 &amp; CHAR(10) &amp; "• " &amp; 'الجدول'!C144 &amp; CHAR(10) &amp; "• " &amp; 'الجدول'!C145 &amp; CHAR(10) &amp; "• " &amp; 'الجدول'!C146 &amp; CHAR(10) &amp; "• " &amp; 'الجدول'!C147 &amp; CHAR(10) &amp; "• " &amp; 'الجدول'!C148 &amp; CHAR(10) &amp; "• " &amp; 'الجدول'!C149 &amp; CHAR(10) &amp; CHAR(10) &amp; "■■ " &amp; 'الجدول'!D1 &amp; " ■■" &amp; CHAR(10) &amp; "• " &amp; 'الجدول'!D141 &amp; CHAR(10) &amp; "• " &amp; 'الجدول'!D142 &amp; CHAR(10) &amp; "• " &amp; 'الجدول'!D143 &amp; CHAR(10) &amp; "• " &amp; 'الجدول'!D144 &amp; CHAR(10) &amp; "• " &amp; 'الجدول'!D145 &amp; CHAR(10) &amp; "• " &amp; 'الجدول'!D146 &amp; CHAR(10) &amp; "• " &amp; 'الجدول'!D147 &amp; CHAR(10) &amp; "• " &amp; 'الجدول'!D148 &amp; CHAR(10) &amp; "• " &amp; 'الجدول'!D149 &amp; CHAR(10) &amp; CHAR(10) &amp; "■■ " &amp; 'الجدول'!E1 &amp; " ■■" &amp; CHAR(10) &amp; "• " &amp; 'الجدول'!E141 &amp; CHAR(10) &amp; "• " &amp; 'الجدول'!E142 &amp; CHAR(10) &amp; "• " &amp; 'الجدول'!E143 &amp; CHAR(10) &amp; "• " &amp; 'الجدول'!E144 &amp; CHAR(10) &amp; "• " &amp; 'الجدول'!E145 &amp; CHAR(10) &amp; "• " &amp; 'الجدول'!E146 &amp; CHAR(10) &amp; "• " &amp; 'الجدول'!E147 &amp; CHAR(10) &amp; "• " &amp; 'الجدول'!E148 &amp; CHAR(10) &amp; "• " &amp; 'الجدول'!E149 &amp; CHAR(10) &amp; CHAR(10) &amp; "■■ " &amp; 'الجدول'!F1 &amp; " ■■" &amp; CHAR(10) &amp; "• " &amp; 'الجدول'!F141 &amp; CHAR(10) &amp; "• " &amp; 'الجدول'!F142 &amp; CHAR(10) &amp; "• " &amp; 'الجدول'!F143 &amp; CHAR(10) &amp; "• " &amp; 'الجدول'!F144 &amp; CHAR(10) &amp; "• " &amp; 'الجدول'!F145 &amp; CHAR(10) &amp; "• " &amp; 'الجدول'!F146 &amp; CHAR(10) &amp; "• " &amp; 'الجدول'!F147 &amp; CHAR(10) &amp; "• " &amp; 'الجدول'!F148 &amp; CHAR(10) &amp; "• " &amp; 'الجدول'!F149 &amp; CHAR(10) &amp; CHAR(10) &amp; "■■ " &amp; 'الجدول'!G1 &amp; " ■■" &amp; CHAR(10) &amp; "• " &amp; 'الجدول'!G141 &amp; CHAR(10) &amp; "• " &amp; 'الجدول'!G142 &amp; CHAR(10) &amp; "• " &amp; 'الجدول'!G143 &amp; CHAR(10) &amp; "• " &amp; 'الجدول'!G144 &amp; CHAR(10) &amp; "• " &amp; 'الجدول'!G145 &amp; CHAR(10) &amp; "• " &amp; 'الجدول'!G146 &amp; CHAR(10) &amp; "• " &amp; 'الجدول'!G147 &amp; CHAR(10) &amp; "• " &amp; 'الجدول'!G148 &amp; CHAR(10) &amp; "• " &amp; 'الجدول'!G149 &amp; CHAR(10) &amp; CHAR(10) &amp; "■■ " &amp; 'الجدول'!H1 &amp; " ■■" &amp; CHAR(10) &amp; "• " &amp; 'الجدول'!H141 &amp; CHAR(10) &amp; "• " &amp; 'الجدول'!H142 &amp; CHAR(10) &amp; "• " &amp; 'الجدول'!H143 &amp; CHAR(10) &amp; "• " &amp; 'الجدول'!H144 &amp; CHAR(10) &amp; "• " &amp; 'الجدول'!H145 &amp; CHAR(10) &amp; "• " &amp; 'الجدول'!H146 &amp; CHAR(10) &amp; "• " &amp; 'الجدول'!H147 &amp; CHAR(10) &amp; "• " &amp; 'الجدول'!H148 &amp; CHAR(10) &amp; "• " &amp; 'الجدول'!H149 &amp; CHAR(10) &amp; CHAR(10) &amp; "■■ " &amp; 'الجدول'!I1 &amp; " ■■" &amp; CHAR(10) &amp; "• " &amp; 'الجدول'!I141 &amp; CHAR(10) &amp; "• " &amp; 'الجدول'!I142 &amp; CHAR(10) &amp; "• " &amp; 'الجدول'!I143 &amp; CHAR(10) &amp; "• " &amp; 'الجدول'!I144 &amp; CHAR(10) &amp; "• " &amp; 'الجدول'!I145 &amp; CHAR(10) &amp; "• " &amp; 'الجدول'!I146 &amp; CHAR(10) &amp; "• " &amp; 'الجدول'!I147 &amp; CHAR(10) &amp; "• " &amp; 'الجدول'!I148 &amp; CHAR(10) &amp; "• " &amp; 'الجدول'!I149 &amp; CHAR(10) &amp; CHAR(10) &amp; "■■ " &amp; 'الجدول'!J1 &amp; " ■■" &amp; CHAR(10) &amp; "• " &amp; 'الجدول'!J141 &amp; CHAR(10) &amp; "• " &amp; 'الجدول'!J142 &amp; CHAR(10) &amp; "• " &amp; 'الجدول'!J143 &amp; CHAR(10) &amp; "• " &amp; 'الجدول'!J144 &amp; CHAR(10) &amp; "• " &amp; 'الجدول'!J145 &amp; CHAR(10) &amp; "• " &amp; 'الجدول'!J146 &amp; CHAR(10) &amp; "• " &amp; 'الجدول'!J147 &amp; CHAR(10) &amp; "• " &amp; 'الجدول'!J148 &amp; CHAR(10) &amp; "• " &amp; 'الجدول'!J149 &amp; CHAR(10) &amp; CHAR(10) &amp; "■■ " &amp; 'الجدول'!K1 &amp; " ■■" &amp; CHAR(10) &amp; "• " &amp; 'الجدول'!K141 &amp; CHAR(10) &amp; "• " &amp; 'الجدول'!K142 &amp; CHAR(10) &amp; "• " &amp; 'الجدول'!K143 &amp; CHAR(10) &amp; "• " &amp; 'الجدول'!K144 &amp; CHAR(10) &amp; "• " &amp; 'الجدول'!K145 &amp; CHAR(10) &amp; "• " &amp; 'الجدول'!K146 &amp; CHAR(10) &amp; "• " &amp; 'الجدول'!K147 &amp; CHAR(10) &amp; "• " &amp; 'الجدول'!K148 &amp; CHAR(10) &amp; "• " &amp; 'الجدول'!K149 &amp; CHAR(10) &amp; CHAR(10) &amp; "■■ " &amp; 'الجدول'!L1 &amp; " ■■" &amp; CHAR(10) &amp; "• " &amp; 'الجدول'!L141 &amp; CHAR(10) &amp; "• " &amp; 'الجدول'!L142 &amp; CHAR(10) &amp; "• " &amp; 'الجدول'!L143 &amp; CHAR(10) &amp; "• " &amp; 'الجدول'!L144 &amp; CHAR(10) &amp; "• " &amp; 'الجدول'!L145 &amp; CHAR(10) &amp; "• " &amp; 'الجدول'!L146 &amp; CHAR(10) &amp; "• " &amp; 'الجدول'!L147 &amp; CHAR(10) &amp; "• " &amp; 'الجدول'!L148 &amp; CHAR(10) &amp; "• " &amp; 'الجدول'!L149 &amp; CHAR(10) &amp; CHAR(10) &amp; "■■ " &amp; 'الجدول'!M1 &amp; " ■■" &amp; CHAR(10) &amp; "• " &amp; 'الجدول'!M141 &amp; CHAR(10) &amp; "• " &amp; 'الجدول'!M142 &amp; CHAR(10) &amp; "• " &amp; 'الجدول'!M143 &amp; CHAR(10) &amp; "• " &amp; 'الجدول'!M144 &amp; CHAR(10) &amp; "• " &amp; 'الجدول'!M145 &amp; CHAR(10) &amp; "• " &amp; 'الجدول'!M146 &amp; CHAR(10) &amp; "• " &amp; 'الجدول'!M147 &amp; CHAR(10) &amp; "• " &amp; 'الجدول'!M148 &amp; CHAR(10) &amp; "• " &amp; 'الجدول'!M149 &amp; CHAR(10) &amp; CHAR(10) &amp; "■■ " &amp; 'الجدول'!N1 &amp; " ■■" &amp; CHAR(10) &amp; "• " &amp; 'الجدول'!N141 &amp; CHAR(10) &amp; "• " &amp; 'الجدول'!N142 &amp; CHAR(10) &amp; "• " &amp; 'الجدول'!N143 &amp; CHAR(10) &amp; "• " &amp; 'الجدول'!N144 &amp; CHAR(10) &amp; "• " &amp; 'الجدول'!N145 &amp; CHAR(10) &amp; "• " &amp; 'الجدول'!N146 &amp; CHAR(10) &amp; "• " &amp; 'الجدول'!N147 &amp; CHAR(10) &amp; "• " &amp; 'الجدول'!N148 &amp; CHAR(10) &amp; "• " &amp; 'الجدول'!N149 &amp; CHAR(10) &amp; CHAR(10) &amp; "■■ " &amp; 'الجدول'!O1 &amp; " ■■" &amp; CHAR(10) &amp; "• " &amp; 'الجدول'!O141 &amp; CHAR(10) &amp; "• " &amp; 'الجدول'!O142 &amp; CHAR(10) &amp; "• " &amp; 'الجدول'!O143 &amp; CHAR(10) &amp; "• " &amp; 'الجدول'!O144 &amp; CHAR(10) &amp; "• " &amp; 'الجدول'!O145 &amp; CHAR(10) &amp; "• " &amp; 'الجدول'!O146 &amp; CHAR(10) &amp; "• " &amp; 'الجدول'!O147 &amp; CHAR(10) &amp; "• " &amp; 'الجدول'!O148 &amp; CHAR(10) &amp; "• " &amp; 'الجدول'!O149 &amp; CHAR(10) &amp; CHAR(10)</f>
        <v>■■ ER ADMISSION-NIGHT-🚨🌙 ■■
• مها حسين السيد
(01012349071)
• ----------
• ----------
• ----------
• ----------
• ----------
• ----------
• ----------
• ----------
■■ ER ADMISSIONS -DAY-🚨☀️ ■■
• شيماء رمضان سعد
(01021468731)
• ----------
• ----------
• ----------
• ----------
• ----------
• ----------
• ----------
• ----------
■■ ER-clinic Day ☀️🚨 ■■
• دانه طارق
(01012809042)
• ----------
• ----------
• ----------
• ----------
• ----------
• ----------
• ----------
• ----------
■■ ER GENERAL-DAY-🚨☀️ ■■
• أحمد رجب محمد
(01273127265)
• بلال أحمد
(01066883767)
• سعيد السيد محمد السيد محمد سابق
(01203394950)
• عمر حسن محمد حسن حجازي
(01019701020)
• روان ياسر سليم
(01005005160)
• مصطفى محمد علي محمد بدر
(01150245681)
• رنا اكرم احمد
(01122182132)
• سلمى أبوالعلا
(01124166114)
• عمر محمد سيد
(01000688544)
■■ ER GENERAL-NIGHT-🚨🌙 ■■
• Mostafa Ismail
(01022400525)
• حنان النبوى محمد
(01067888751)
• شدو محمد شلتوت
(1550336384)
• احمد ايهاب محمد عواد
(01032298339)
• مي خالد ابوزيد
(01023578224)
• كارين باسم صومائيل
(01274209975)
• محمد محمود ابراهيم
(01112057358)
• Mohamed Ahmed
• ----------
■■ ER PT-DAY-🚨☀️ ■■
• عمرو عبدالغفار حمزة
(01014246636)
• مريم السيد أحمد خيرالله
(01099882992)
• ملك محمد فؤاد
(01001721072)
• مينا رومانى عبده
(01212866642)
• Ziad said mohamed
(01028577876)
• احمد حسام الدين صلاح
(01065567736)
• احمدنوید قیومی
(01104573242)
• عبدالمسيح مكرم
(01203267885)
• ----------
■■ ER PT-NIGHT-🚨🌙 ■■
• احمد ناصر
(01553479200)
• هديل هشام منصور الوشاحي
(01227221344)
• منار احمد سعيد
(01092708033)
• شهاب احمد حلمي
(01055979002)
• Sara Refaat
(01220039613)
• زينة أشرف حسين
(01067196820)
• محمد عمرو محمد عبدالباقي
(01151653320)
• رنا اكرم احمد
(01122182132)
• محمود محمد عبدالرحمن
(01023283048)
■■ ER TRIAGE-DAY-🚨☀️ ■■
• كارين روماني راشد
(01102663062)
• ----------
• ----------
• ----------
• ----------
• ----------
• ----------
• ----------
• ----------
■■ ER TRIAGE-NIGHT-🚨🌙 ■■
• Youssef elsemary
(01126286820)
• ----------
• ----------
• ----------
• ----------
• ----------
• ----------
• ----------
• ----------
■■ ER WARD-DAY-🚨☀️ ■■
• منة السيد عبد الباقي
(01274588193)
• استيفن مدحت منير
(01200226122)
• رنيم حاتم رفيق بسيسو
(01144758373)
• محمود عبد المحسن إبراهيم
(01062086612)
• أحمد زيدان
(01110524147)
• مصطفى عبد الراضى صديق
(01226696153)
• ----------
• ----------
• ----------
■■ ER WARD-NIGHT-🚨🌙 ■■
• يوسف طه السيد
(01207620695)
• سندس أحمد سيد
(01156131096)
• يوسف عاطف رزق الله
(01148183647)
• Marwan Ayman
(01149894940)
• كارين روماني راشد
(01102663062)
• Rawan Elessawy
(01010983040)
• ----------
• ----------
• ----------
■■ 🗡️LISTA ■■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</v>
      </c>
      <c r="C23" s="3" t="str">
        <f>HYPERLINK("#الجدول!A" &amp; 140, "الجدول الأساسي")</f>
        <v>الجدول الأساسي</v>
      </c>
    </row>
    <row r="24" ht="15.75" customHeight="1">
      <c r="A24" s="1" t="s">
        <v>104</v>
      </c>
      <c r="B24" s="5" t="str">
        <f>"" &amp; "■■ " &amp; 'الجدول'!B1 &amp; " ■■" &amp; CHAR(10) &amp; "• " &amp; 'الجدول'!B150 &amp; CHAR(10) &amp; "• " &amp; 'الجدول'!B151 &amp; CHAR(10) &amp; "• " &amp; 'الجدول'!B152 &amp; CHAR(10) &amp; "• " &amp; 'الجدول'!B153 &amp; CHAR(10) &amp; "• " &amp; 'الجدول'!B154 &amp; CHAR(10) &amp; "• " &amp; 'الجدول'!B155 &amp; CHAR(10) &amp; "• " &amp; 'الجدول'!B156 &amp; CHAR(10) &amp; "• " &amp; 'الجدول'!B157 &amp; CHAR(10) &amp; CHAR(10) &amp; "■■ " &amp; 'الجدول'!C1 &amp; " ■■" &amp; CHAR(10) &amp; "• " &amp; 'الجدول'!C150 &amp; CHAR(10) &amp; "• " &amp; 'الجدول'!C151 &amp; CHAR(10) &amp; "• " &amp; 'الجدول'!C152 &amp; CHAR(10) &amp; "• " &amp; 'الجدول'!C153 &amp; CHAR(10) &amp; "• " &amp; 'الجدول'!C154 &amp; CHAR(10) &amp; "• " &amp; 'الجدول'!C155 &amp; CHAR(10) &amp; "• " &amp; 'الجدول'!C156 &amp; CHAR(10) &amp; "• " &amp; 'الجدول'!C157 &amp; CHAR(10) &amp; CHAR(10) &amp; "■■ " &amp; 'الجدول'!D1 &amp; " ■■" &amp; CHAR(10) &amp; "• " &amp; 'الجدول'!D150 &amp; CHAR(10) &amp; "• " &amp; 'الجدول'!D151 &amp; CHAR(10) &amp; "• " &amp; 'الجدول'!D152 &amp; CHAR(10) &amp; "• " &amp; 'الجدول'!D153 &amp; CHAR(10) &amp; "• " &amp; 'الجدول'!D154 &amp; CHAR(10) &amp; "• " &amp; 'الجدول'!D155 &amp; CHAR(10) &amp; "• " &amp; 'الجدول'!D156 &amp; CHAR(10) &amp; "• " &amp; 'الجدول'!D157 &amp; CHAR(10) &amp; CHAR(10) &amp; "■■ " &amp; 'الجدول'!E1 &amp; " ■■" &amp; CHAR(10) &amp; "• " &amp; 'الجدول'!E150 &amp; CHAR(10) &amp; "• " &amp; 'الجدول'!E151 &amp; CHAR(10) &amp; "• " &amp; 'الجدول'!E152 &amp; CHAR(10) &amp; "• " &amp; 'الجدول'!E153 &amp; CHAR(10) &amp; "• " &amp; 'الجدول'!E154 &amp; CHAR(10) &amp; "• " &amp; 'الجدول'!E155 &amp; CHAR(10) &amp; "• " &amp; 'الجدول'!E156 &amp; CHAR(10) &amp; "• " &amp; 'الجدول'!E157 &amp; CHAR(10) &amp; CHAR(10) &amp; "■■ " &amp; 'الجدول'!F1 &amp; " ■■" &amp; CHAR(10) &amp; "• " &amp; 'الجدول'!F150 &amp; CHAR(10) &amp; "• " &amp; 'الجدول'!F151 &amp; CHAR(10) &amp; "• " &amp; 'الجدول'!F152 &amp; CHAR(10) &amp; "• " &amp; 'الجدول'!F153 &amp; CHAR(10) &amp; "• " &amp; 'الجدول'!F154 &amp; CHAR(10) &amp; "• " &amp; 'الجدول'!F155 &amp; CHAR(10) &amp; "• " &amp; 'الجدول'!F156 &amp; CHAR(10) &amp; "• " &amp; 'الجدول'!F157 &amp; CHAR(10) &amp; CHAR(10) &amp; "■■ " &amp; 'الجدول'!G1 &amp; " ■■" &amp; CHAR(10) &amp; "• " &amp; 'الجدول'!G150 &amp; CHAR(10) &amp; "• " &amp; 'الجدول'!G151 &amp; CHAR(10) &amp; "• " &amp; 'الجدول'!G152 &amp; CHAR(10) &amp; "• " &amp; 'الجدول'!G153 &amp; CHAR(10) &amp; "• " &amp; 'الجدول'!G154 &amp; CHAR(10) &amp; "• " &amp; 'الجدول'!G155 &amp; CHAR(10) &amp; "• " &amp; 'الجدول'!G156 &amp; CHAR(10) &amp; "• " &amp; 'الجدول'!G157 &amp; CHAR(10) &amp; CHAR(10) &amp; "■■ " &amp; 'الجدول'!H1 &amp; " ■■" &amp; CHAR(10) &amp; "• " &amp; 'الجدول'!H150 &amp; CHAR(10) &amp; "• " &amp; 'الجدول'!H151 &amp; CHAR(10) &amp; "• " &amp; 'الجدول'!H152 &amp; CHAR(10) &amp; "• " &amp; 'الجدول'!H153 &amp; CHAR(10) &amp; "• " &amp; 'الجدول'!H154 &amp; CHAR(10) &amp; "• " &amp; 'الجدول'!H155 &amp; CHAR(10) &amp; "• " &amp; 'الجدول'!H156 &amp; CHAR(10) &amp; "• " &amp; 'الجدول'!H157 &amp; CHAR(10) &amp; CHAR(10) &amp; "■■ " &amp; 'الجدول'!I1 &amp; " ■■" &amp; CHAR(10) &amp; "• " &amp; 'الجدول'!I150 &amp; CHAR(10) &amp; "• " &amp; 'الجدول'!I151 &amp; CHAR(10) &amp; "• " &amp; 'الجدول'!I152 &amp; CHAR(10) &amp; "• " &amp; 'الجدول'!I153 &amp; CHAR(10) &amp; "• " &amp; 'الجدول'!I154 &amp; CHAR(10) &amp; "• " &amp; 'الجدول'!I155 &amp; CHAR(10) &amp; "• " &amp; 'الجدول'!I156 &amp; CHAR(10) &amp; "• " &amp; 'الجدول'!I157 &amp; CHAR(10) &amp; CHAR(10) &amp; "■■ " &amp; 'الجدول'!J1 &amp; " ■■" &amp; CHAR(10) &amp; "• " &amp; 'الجدول'!J150 &amp; CHAR(10) &amp; "• " &amp; 'الجدول'!J151 &amp; CHAR(10) &amp; "• " &amp; 'الجدول'!J152 &amp; CHAR(10) &amp; "• " &amp; 'الجدول'!J153 &amp; CHAR(10) &amp; "• " &amp; 'الجدول'!J154 &amp; CHAR(10) &amp; "• " &amp; 'الجدول'!J155 &amp; CHAR(10) &amp; "• " &amp; 'الجدول'!J156 &amp; CHAR(10) &amp; "• " &amp; 'الجدول'!J157 &amp; CHAR(10) &amp; CHAR(10) &amp; "■■ " &amp; 'الجدول'!K1 &amp; " ■■" &amp; CHAR(10) &amp; "• " &amp; 'الجدول'!K150 &amp; CHAR(10) &amp; "• " &amp; 'الجدول'!K151 &amp; CHAR(10) &amp; "• " &amp; 'الجدول'!K152 &amp; CHAR(10) &amp; "• " &amp; 'الجدول'!K153 &amp; CHAR(10) &amp; "• " &amp; 'الجدول'!K154 &amp; CHAR(10) &amp; "• " &amp; 'الجدول'!K155 &amp; CHAR(10) &amp; "• " &amp; 'الجدول'!K156 &amp; CHAR(10) &amp; "• " &amp; 'الجدول'!K157 &amp; CHAR(10) &amp; CHAR(10) &amp; "■■ " &amp; 'الجدول'!L1 &amp; " ■■" &amp; CHAR(10) &amp; "• " &amp; 'الجدول'!L150 &amp; CHAR(10) &amp; "• " &amp; 'الجدول'!L151 &amp; CHAR(10) &amp; "• " &amp; 'الجدول'!L152 &amp; CHAR(10) &amp; "• " &amp; 'الجدول'!L153 &amp; CHAR(10) &amp; "• " &amp; 'الجدول'!L154 &amp; CHAR(10) &amp; "• " &amp; 'الجدول'!L155 &amp; CHAR(10) &amp; "• " &amp; 'الجدول'!L156 &amp; CHAR(10) &amp; "• " &amp; 'الجدول'!L157 &amp; CHAR(10) &amp; CHAR(10) &amp; "■■ " &amp; 'الجدول'!M1 &amp; " ■■" &amp; CHAR(10) &amp; "• " &amp; 'الجدول'!M150 &amp; CHAR(10) &amp; "• " &amp; 'الجدول'!M151 &amp; CHAR(10) &amp; "• " &amp; 'الجدول'!M152 &amp; CHAR(10) &amp; "• " &amp; 'الجدول'!M153 &amp; CHAR(10) &amp; "• " &amp; 'الجدول'!M154 &amp; CHAR(10) &amp; "• " &amp; 'الجدول'!M155 &amp; CHAR(10) &amp; "• " &amp; 'الجدول'!M156 &amp; CHAR(10) &amp; "• " &amp; 'الجدول'!M157 &amp; CHAR(10) &amp; CHAR(10) &amp; "■■ " &amp; 'الجدول'!N1 &amp; " ■■" &amp; CHAR(10) &amp; "• " &amp; 'الجدول'!N150 &amp; CHAR(10) &amp; "• " &amp; 'الجدول'!N151 &amp; CHAR(10) &amp; "• " &amp; 'الجدول'!N152 &amp; CHAR(10) &amp; "• " &amp; 'الجدول'!N153 &amp; CHAR(10) &amp; "• " &amp; 'الجدول'!N154 &amp; CHAR(10) &amp; "• " &amp; 'الجدول'!N155 &amp; CHAR(10) &amp; "• " &amp; 'الجدول'!N156 &amp; CHAR(10) &amp; "• " &amp; 'الجدول'!N157 &amp; CHAR(10) &amp; CHAR(10) &amp; "■■ " &amp; 'الجدول'!O1 &amp; " ■■" &amp; CHAR(10) &amp; "• " &amp; 'الجدول'!O150 &amp; CHAR(10) &amp; "• " &amp; 'الجدول'!O151 &amp; CHAR(10) &amp; "• " &amp; 'الجدول'!O152 &amp; CHAR(10) &amp; "• " &amp; 'الجدول'!O153 &amp; CHAR(10) &amp; "• " &amp; 'الجدول'!O154 &amp; CHAR(10) &amp; "• " &amp; 'الجدول'!O155 &amp; CHAR(10) &amp; "• " &amp; 'الجدول'!O156 &amp; CHAR(10) &amp; "• " &amp; 'الجدول'!O157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ER-clinic Day ☀️🚨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مصطفى محمد علي محمد بدر
(01150245681)
• عمر محمد سيد
(01000688544)
• منار احمد سعيد
(01092708033)
• شيماء رمضان سعد
(01021468731)
• بلال أحمد
(01066883767)
• مصطفى عبد الراضى صديق
(01226696153)
• زينة أشرف حسين
(01067196820)
• زينة أشرف حسين
(01067196820)
■■ WARD-NIGHT-🌙 ■■
• شهاب احمد حلمي
(01055979002)
• أحمد زيدان
(01110524147)
• Sara Refaat
(01220039613)
• Mostafa Ismail
(01022400525)
• نورهان محمد
(0112 826 8287)
• ----------
• ----------
• ----------
</v>
      </c>
      <c r="C24" s="3" t="str">
        <f>HYPERLINK("#الجدول!A" &amp; 149, "الجدول الأساسي")</f>
        <v>الجدول الأساسي</v>
      </c>
    </row>
    <row r="25" ht="15.75" customHeight="1">
      <c r="A25" s="1" t="s">
        <v>105</v>
      </c>
      <c r="B25" s="5" t="str">
        <f>"" &amp; "■■ " &amp; 'الجدول'!B1 &amp; " ■■" &amp; CHAR(10) &amp; "• " &amp; 'الجدول'!B158 &amp; CHAR(10) &amp; "• " &amp; 'الجدول'!B159 &amp; CHAR(10) &amp; "• " &amp; 'الجدول'!B160 &amp; CHAR(10) &amp; "• " &amp; 'الجدول'!B161 &amp; CHAR(10) &amp; "• " &amp; 'الجدول'!B162 &amp; CHAR(10) &amp; "• " &amp; 'الجدول'!B163 &amp; CHAR(10) &amp; CHAR(10) &amp; "■■ " &amp; 'الجدول'!C1 &amp; " ■■" &amp; CHAR(10) &amp; "• " &amp; 'الجدول'!C158 &amp; CHAR(10) &amp; "• " &amp; 'الجدول'!C159 &amp; CHAR(10) &amp; "• " &amp; 'الجدول'!C160 &amp; CHAR(10) &amp; "• " &amp; 'الجدول'!C161 &amp; CHAR(10) &amp; "• " &amp; 'الجدول'!C162 &amp; CHAR(10) &amp; "• " &amp; 'الجدول'!C163 &amp; CHAR(10) &amp; CHAR(10) &amp; "■■ " &amp; 'الجدول'!D1 &amp; " ■■" &amp; CHAR(10) &amp; "• " &amp; 'الجدول'!D158 &amp; CHAR(10) &amp; "• " &amp; 'الجدول'!D159 &amp; CHAR(10) &amp; "• " &amp; 'الجدول'!D160 &amp; CHAR(10) &amp; "• " &amp; 'الجدول'!D161 &amp; CHAR(10) &amp; "• " &amp; 'الجدول'!D162 &amp; CHAR(10) &amp; "• " &amp; 'الجدول'!D163 &amp; CHAR(10) &amp; CHAR(10) &amp; "■■ " &amp; 'الجدول'!E1 &amp; " ■■" &amp; CHAR(10) &amp; "• " &amp; 'الجدول'!E158 &amp; CHAR(10) &amp; "• " &amp; 'الجدول'!E159 &amp; CHAR(10) &amp; "• " &amp; 'الجدول'!E160 &amp; CHAR(10) &amp; "• " &amp; 'الجدول'!E161 &amp; CHAR(10) &amp; "• " &amp; 'الجدول'!E162 &amp; CHAR(10) &amp; "• " &amp; 'الجدول'!E163 &amp; CHAR(10) &amp; CHAR(10) &amp; "■■ " &amp; 'الجدول'!F1 &amp; " ■■" &amp; CHAR(10) &amp; "• " &amp; 'الجدول'!F158 &amp; CHAR(10) &amp; "• " &amp; 'الجدول'!F159 &amp; CHAR(10) &amp; "• " &amp; 'الجدول'!F160 &amp; CHAR(10) &amp; "• " &amp; 'الجدول'!F161 &amp; CHAR(10) &amp; "• " &amp; 'الجدول'!F162 &amp; CHAR(10) &amp; "• " &amp; 'الجدول'!F163 &amp; CHAR(10) &amp; CHAR(10) &amp; "■■ " &amp; 'الجدول'!G1 &amp; " ■■" &amp; CHAR(10) &amp; "• " &amp; 'الجدول'!G158 &amp; CHAR(10) &amp; "• " &amp; 'الجدول'!G159 &amp; CHAR(10) &amp; "• " &amp; 'الجدول'!G160 &amp; CHAR(10) &amp; "• " &amp; 'الجدول'!G161 &amp; CHAR(10) &amp; "• " &amp; 'الجدول'!G162 &amp; CHAR(10) &amp; "• " &amp; 'الجدول'!G163 &amp; CHAR(10) &amp; CHAR(10) &amp; "■■ " &amp; 'الجدول'!H1 &amp; " ■■" &amp; CHAR(10) &amp; "• " &amp; 'الجدول'!H158 &amp; CHAR(10) &amp; "• " &amp; 'الجدول'!H159 &amp; CHAR(10) &amp; "• " &amp; 'الجدول'!H160 &amp; CHAR(10) &amp; "• " &amp; 'الجدول'!H161 &amp; CHAR(10) &amp; "• " &amp; 'الجدول'!H162 &amp; CHAR(10) &amp; "• " &amp; 'الجدول'!H163 &amp; CHAR(10) &amp; CHAR(10) &amp; "■■ " &amp; 'الجدول'!I1 &amp; " ■■" &amp; CHAR(10) &amp; "• " &amp; 'الجدول'!I158 &amp; CHAR(10) &amp; "• " &amp; 'الجدول'!I159 &amp; CHAR(10) &amp; "• " &amp; 'الجدول'!I160 &amp; CHAR(10) &amp; "• " &amp; 'الجدول'!I161 &amp; CHAR(10) &amp; "• " &amp; 'الجدول'!I162 &amp; CHAR(10) &amp; "• " &amp; 'الجدول'!I163 &amp; CHAR(10) &amp; CHAR(10) &amp; "■■ " &amp; 'الجدول'!J1 &amp; " ■■" &amp; CHAR(10) &amp; "• " &amp; 'الجدول'!J158 &amp; CHAR(10) &amp; "• " &amp; 'الجدول'!J159 &amp; CHAR(10) &amp; "• " &amp; 'الجدول'!J160 &amp; CHAR(10) &amp; "• " &amp; 'الجدول'!J161 &amp; CHAR(10) &amp; "• " &amp; 'الجدول'!J162 &amp; CHAR(10) &amp; "• " &amp; 'الجدول'!J163 &amp; CHAR(10) &amp; CHAR(10) &amp; "■■ " &amp; 'الجدول'!K1 &amp; " ■■" &amp; CHAR(10) &amp; "• " &amp; 'الجدول'!K158 &amp; CHAR(10) &amp; "• " &amp; 'الجدول'!K159 &amp; CHAR(10) &amp; "• " &amp; 'الجدول'!K160 &amp; CHAR(10) &amp; "• " &amp; 'الجدول'!K161 &amp; CHAR(10) &amp; "• " &amp; 'الجدول'!K162 &amp; CHAR(10) &amp; "• " &amp; 'الجدول'!K163 &amp; CHAR(10) &amp; CHAR(10) &amp; "■■ " &amp; 'الجدول'!L1 &amp; " ■■" &amp; CHAR(10) &amp; "• " &amp; 'الجدول'!L158 &amp; CHAR(10) &amp; "• " &amp; 'الجدول'!L159 &amp; CHAR(10) &amp; "• " &amp; 'الجدول'!L160 &amp; CHAR(10) &amp; "• " &amp; 'الجدول'!L161 &amp; CHAR(10) &amp; "• " &amp; 'الجدول'!L162 &amp; CHAR(10) &amp; "• " &amp; 'الجدول'!L163 &amp; CHAR(10) &amp; CHAR(10) &amp; "■■ " &amp; 'الجدول'!M1 &amp; " ■■" &amp; CHAR(10) &amp; "• " &amp; 'الجدول'!M158 &amp; CHAR(10) &amp; "• " &amp; 'الجدول'!M159 &amp; CHAR(10) &amp; "• " &amp; 'الجدول'!M160 &amp; CHAR(10) &amp; "• " &amp; 'الجدول'!M161 &amp; CHAR(10) &amp; "• " &amp; 'الجدول'!M162 &amp; CHAR(10) &amp; "• " &amp; 'الجدول'!M163 &amp; CHAR(10) &amp; CHAR(10) &amp; "■■ " &amp; 'الجدول'!N1 &amp; " ■■" &amp; CHAR(10) &amp; "• " &amp; 'الجدول'!N158 &amp; CHAR(10) &amp; "• " &amp; 'الجدول'!N159 &amp; CHAR(10) &amp; "• " &amp; 'الجدول'!N160 &amp; CHAR(10) &amp; "• " &amp; 'الجدول'!N161 &amp; CHAR(10) &amp; "• " &amp; 'الجدول'!N162 &amp; CHAR(10) &amp; "• " &amp; 'الجدول'!N163 &amp; CHAR(10) &amp; CHAR(10) &amp; "■■ " &amp; 'الجدول'!O1 &amp; " ■■" &amp; CHAR(10) &amp; "• " &amp; 'الجدول'!O158 &amp; CHAR(10) &amp; "• " &amp; 'الجدول'!O159 &amp; CHAR(10) &amp; "• " &amp; 'الجدول'!O160 &amp; CHAR(10) &amp; "• " &amp; 'الجدول'!O161 &amp; CHAR(10) &amp; "• " &amp; 'الجدول'!O162 &amp; CHAR(10) &amp; "• " &amp; 'الجدول'!O163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عبدالمسيح مكرم
(01203267885)
• مينا رومانى عبده
(01212866642)
• عمر حسن محمد حسن حجازي
(01019701020)
• ----------
• ----------
• ----------
■■ WARD-DAY-☀️ ■■
• كارين روماني راشد
(01102663062)
• دانه طارق
(01012809042)
• محمود عبد المحسن إبراهيم
(01062086612)
• استيفن مدحت منير
(01200226122)
• مها حسين السيد
(01012349071)
• مي خالد ابوزيد
(01023578224)
■■ WARD-NIGHT-🌙 ■■
• كارين باسم صومائيل
(01274209975)
• رنا اكرم احمد
(01122182132)
• عمر حسن محمد حسن حجازي
(01019701020)
• Mohamed Ahmed
• ----------
• ----------
</v>
      </c>
      <c r="C25" s="3" t="str">
        <f>HYPERLINK("#الجدول!A" &amp; 157, "الجدول الأساسي")</f>
        <v>الجدول الأساسي</v>
      </c>
    </row>
    <row r="26" ht="15.75" customHeight="1">
      <c r="A26" s="1" t="s">
        <v>106</v>
      </c>
      <c r="B26" s="5" t="str">
        <f>"" &amp; "■■ " &amp; 'الجدول'!B1 &amp; " ■■" &amp; CHAR(10) &amp; "• " &amp; 'الجدول'!B164 &amp; CHAR(10) &amp; "• " &amp; 'الجدول'!B165 &amp; CHAR(10) &amp; "• " &amp; 'الجدول'!B166 &amp; CHAR(10) &amp; "• " &amp; 'الجدول'!B167 &amp; CHAR(10) &amp; "• " &amp; 'الجدول'!B168 &amp; CHAR(10) &amp; "• " &amp; 'الجدول'!B169 &amp; CHAR(10) &amp; CHAR(10) &amp; "■■ " &amp; 'الجدول'!C1 &amp; " ■■" &amp; CHAR(10) &amp; "• " &amp; 'الجدول'!C164 &amp; CHAR(10) &amp; "• " &amp; 'الجدول'!C165 &amp; CHAR(10) &amp; "• " &amp; 'الجدول'!C166 &amp; CHAR(10) &amp; "• " &amp; 'الجدول'!C167 &amp; CHAR(10) &amp; "• " &amp; 'الجدول'!C168 &amp; CHAR(10) &amp; "• " &amp; 'الجدول'!C169 &amp; CHAR(10) &amp; CHAR(10) &amp; "■■ " &amp; 'الجدول'!D1 &amp; " ■■" &amp; CHAR(10) &amp; "• " &amp; 'الجدول'!D164 &amp; CHAR(10) &amp; "• " &amp; 'الجدول'!D165 &amp; CHAR(10) &amp; "• " &amp; 'الجدول'!D166 &amp; CHAR(10) &amp; "• " &amp; 'الجدول'!D167 &amp; CHAR(10) &amp; "• " &amp; 'الجدول'!D168 &amp; CHAR(10) &amp; "• " &amp; 'الجدول'!D169 &amp; CHAR(10) &amp; CHAR(10) &amp; "■■ " &amp; 'الجدول'!E1 &amp; " ■■" &amp; CHAR(10) &amp; "• " &amp; 'الجدول'!E164 &amp; CHAR(10) &amp; "• " &amp; 'الجدول'!E165 &amp; CHAR(10) &amp; "• " &amp; 'الجدول'!E166 &amp; CHAR(10) &amp; "• " &amp; 'الجدول'!E167 &amp; CHAR(10) &amp; "• " &amp; 'الجدول'!E168 &amp; CHAR(10) &amp; "• " &amp; 'الجدول'!E169 &amp; CHAR(10) &amp; CHAR(10) &amp; "■■ " &amp; 'الجدول'!F1 &amp; " ■■" &amp; CHAR(10) &amp; "• " &amp; 'الجدول'!F164 &amp; CHAR(10) &amp; "• " &amp; 'الجدول'!F165 &amp; CHAR(10) &amp; "• " &amp; 'الجدول'!F166 &amp; CHAR(10) &amp; "• " &amp; 'الجدول'!F167 &amp; CHAR(10) &amp; "• " &amp; 'الجدول'!F168 &amp; CHAR(10) &amp; "• " &amp; 'الجدول'!F169 &amp; CHAR(10) &amp; CHAR(10) &amp; "■■ " &amp; 'الجدول'!G1 &amp; " ■■" &amp; CHAR(10) &amp; "• " &amp; 'الجدول'!G164 &amp; CHAR(10) &amp; "• " &amp; 'الجدول'!G165 &amp; CHAR(10) &amp; "• " &amp; 'الجدول'!G166 &amp; CHAR(10) &amp; "• " &amp; 'الجدول'!G167 &amp; CHAR(10) &amp; "• " &amp; 'الجدول'!G168 &amp; CHAR(10) &amp; "• " &amp; 'الجدول'!G169 &amp; CHAR(10) &amp; CHAR(10) &amp; "■■ " &amp; 'الجدول'!H1 &amp; " ■■" &amp; CHAR(10) &amp; "• " &amp; 'الجدول'!H164 &amp; CHAR(10) &amp; "• " &amp; 'الجدول'!H165 &amp; CHAR(10) &amp; "• " &amp; 'الجدول'!H166 &amp; CHAR(10) &amp; "• " &amp; 'الجدول'!H167 &amp; CHAR(10) &amp; "• " &amp; 'الجدول'!H168 &amp; CHAR(10) &amp; "• " &amp; 'الجدول'!H169 &amp; CHAR(10) &amp; CHAR(10) &amp; "■■ " &amp; 'الجدول'!I1 &amp; " ■■" &amp; CHAR(10) &amp; "• " &amp; 'الجدول'!I164 &amp; CHAR(10) &amp; "• " &amp; 'الجدول'!I165 &amp; CHAR(10) &amp; "• " &amp; 'الجدول'!I166 &amp; CHAR(10) &amp; "• " &amp; 'الجدول'!I167 &amp; CHAR(10) &amp; "• " &amp; 'الجدول'!I168 &amp; CHAR(10) &amp; "• " &amp; 'الجدول'!I169 &amp; CHAR(10) &amp; CHAR(10) &amp; "■■ " &amp; 'الجدول'!J1 &amp; " ■■" &amp; CHAR(10) &amp; "• " &amp; 'الجدول'!J164 &amp; CHAR(10) &amp; "• " &amp; 'الجدول'!J165 &amp; CHAR(10) &amp; "• " &amp; 'الجدول'!J166 &amp; CHAR(10) &amp; "• " &amp; 'الجدول'!J167 &amp; CHAR(10) &amp; "• " &amp; 'الجدول'!J168 &amp; CHAR(10) &amp; "• " &amp; 'الجدول'!J169 &amp; CHAR(10) &amp; CHAR(10) &amp; "■■ " &amp; 'الجدول'!K1 &amp; " ■■" &amp; CHAR(10) &amp; "• " &amp; 'الجدول'!K164 &amp; CHAR(10) &amp; "• " &amp; 'الجدول'!K165 &amp; CHAR(10) &amp; "• " &amp; 'الجدول'!K166 &amp; CHAR(10) &amp; "• " &amp; 'الجدول'!K167 &amp; CHAR(10) &amp; "• " &amp; 'الجدول'!K168 &amp; CHAR(10) &amp; "• " &amp; 'الجدول'!K169 &amp; CHAR(10) &amp; CHAR(10) &amp; "■■ " &amp; 'الجدول'!L1 &amp; " ■■" &amp; CHAR(10) &amp; "• " &amp; 'الجدول'!L164 &amp; CHAR(10) &amp; "• " &amp; 'الجدول'!L165 &amp; CHAR(10) &amp; "• " &amp; 'الجدول'!L166 &amp; CHAR(10) &amp; "• " &amp; 'الجدول'!L167 &amp; CHAR(10) &amp; "• " &amp; 'الجدول'!L168 &amp; CHAR(10) &amp; "• " &amp; 'الجدول'!L169 &amp; CHAR(10) &amp; CHAR(10) &amp; "■■ " &amp; 'الجدول'!M1 &amp; " ■■" &amp; CHAR(10) &amp; "• " &amp; 'الجدول'!M164 &amp; CHAR(10) &amp; "• " &amp; 'الجدول'!M165 &amp; CHAR(10) &amp; "• " &amp; 'الجدول'!M166 &amp; CHAR(10) &amp; "• " &amp; 'الجدول'!M167 &amp; CHAR(10) &amp; "• " &amp; 'الجدول'!M168 &amp; CHAR(10) &amp; "• " &amp; 'الجدول'!M169 &amp; CHAR(10) &amp; CHAR(10) &amp; "■■ " &amp; 'الجدول'!N1 &amp; " ■■" &amp; CHAR(10) &amp; "• " &amp; 'الجدول'!N164 &amp; CHAR(10) &amp; "• " &amp; 'الجدول'!N165 &amp; CHAR(10) &amp; "• " &amp; 'الجدول'!N166 &amp; CHAR(10) &amp; "• " &amp; 'الجدول'!N167 &amp; CHAR(10) &amp; "• " &amp; 'الجدول'!N168 &amp; CHAR(10) &amp; "• " &amp; 'الجدول'!N169 &amp; CHAR(10) &amp; CHAR(10) &amp; "■■ " &amp; 'الجدول'!O1 &amp; " ■■" &amp; CHAR(10) &amp; "• " &amp; 'الجدول'!O164 &amp; CHAR(10) &amp; "• " &amp; 'الجدول'!O165 &amp; CHAR(10) &amp; "• " &amp; 'الجدول'!O166 &amp; CHAR(10) &amp; "• " &amp; 'الجدول'!O167 &amp; CHAR(10) &amp; "• " &amp; 'الجدول'!O168 &amp; CHAR(10) &amp; "• " &amp; 'الجدول'!O169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ER-clinic Day ☀️🚨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مها حسين السيد
(01012349071)
• كارين روماني راشد
(01102663062)
• منة السيد عبد الباقي
(01274588193)
• رنيم حاتم رفيق بسيسو
(01144758373)
• بلال جودة
(01066199644)
• Ziad said mohamed
(01028577876)
■■ WARD-NIGHT-🌙 ■■
• أحمد زيدان
(01110524147)
• Sara Refaat
(01220039613)
• نورهان محمد
(0112 826 8287)
• ملك محمد فؤاد
(01001721072)
• ----------
• ----------
</v>
      </c>
      <c r="C26" s="3" t="str">
        <f>HYPERLINK("#الجدول!A" &amp; 163, "الجدول الأساسي")</f>
        <v>الجدول الأساسي</v>
      </c>
    </row>
    <row r="27" ht="15.75" customHeight="1">
      <c r="A27" s="1" t="s">
        <v>107</v>
      </c>
      <c r="B27" s="5" t="str">
        <f>"" &amp; "■■ " &amp; 'الجدول'!B1 &amp; " ■■" &amp; CHAR(10) &amp; "• " &amp; 'الجدول'!B170 &amp; CHAR(10) &amp; "• " &amp; 'الجدول'!B171 &amp; CHAR(10) &amp; "• " &amp; 'الجدول'!B172 &amp; CHAR(10) &amp; "• " &amp; 'الجدول'!B173 &amp; CHAR(10) &amp; "• " &amp; 'الجدول'!B174 &amp; CHAR(10) &amp; CHAR(10) &amp; "■■ " &amp; 'الجدول'!C1 &amp; " ■■" &amp; CHAR(10) &amp; "• " &amp; 'الجدول'!C170 &amp; CHAR(10) &amp; "• " &amp; 'الجدول'!C171 &amp; CHAR(10) &amp; "• " &amp; 'الجدول'!C172 &amp; CHAR(10) &amp; "• " &amp; 'الجدول'!C173 &amp; CHAR(10) &amp; "• " &amp; 'الجدول'!C174 &amp; CHAR(10) &amp; CHAR(10) &amp; "■■ " &amp; 'الجدول'!D1 &amp; " ■■" &amp; CHAR(10) &amp; "• " &amp; 'الجدول'!D170 &amp; CHAR(10) &amp; "• " &amp; 'الجدول'!D171 &amp; CHAR(10) &amp; "• " &amp; 'الجدول'!D172 &amp; CHAR(10) &amp; "• " &amp; 'الجدول'!D173 &amp; CHAR(10) &amp; "• " &amp; 'الجدول'!D174 &amp; CHAR(10) &amp; CHAR(10) &amp; "■■ " &amp; 'الجدول'!E1 &amp; " ■■" &amp; CHAR(10) &amp; "• " &amp; 'الجدول'!E170 &amp; CHAR(10) &amp; "• " &amp; 'الجدول'!E171 &amp; CHAR(10) &amp; "• " &amp; 'الجدول'!E172 &amp; CHAR(10) &amp; "• " &amp; 'الجدول'!E173 &amp; CHAR(10) &amp; "• " &amp; 'الجدول'!E174 &amp; CHAR(10) &amp; CHAR(10) &amp; "■■ " &amp; 'الجدول'!F1 &amp; " ■■" &amp; CHAR(10) &amp; "• " &amp; 'الجدول'!F170 &amp; CHAR(10) &amp; "• " &amp; 'الجدول'!F171 &amp; CHAR(10) &amp; "• " &amp; 'الجدول'!F172 &amp; CHAR(10) &amp; "• " &amp; 'الجدول'!F173 &amp; CHAR(10) &amp; "• " &amp; 'الجدول'!F174 &amp; CHAR(10) &amp; CHAR(10) &amp; "■■ " &amp; 'الجدول'!G1 &amp; " ■■" &amp; CHAR(10) &amp; "• " &amp; 'الجدول'!G170 &amp; CHAR(10) &amp; "• " &amp; 'الجدول'!G171 &amp; CHAR(10) &amp; "• " &amp; 'الجدول'!G172 &amp; CHAR(10) &amp; "• " &amp; 'الجدول'!G173 &amp; CHAR(10) &amp; "• " &amp; 'الجدول'!G174 &amp; CHAR(10) &amp; CHAR(10) &amp; "■■ " &amp; 'الجدول'!H1 &amp; " ■■" &amp; CHAR(10) &amp; "• " &amp; 'الجدول'!H170 &amp; CHAR(10) &amp; "• " &amp; 'الجدول'!H171 &amp; CHAR(10) &amp; "• " &amp; 'الجدول'!H172 &amp; CHAR(10) &amp; "• " &amp; 'الجدول'!H173 &amp; CHAR(10) &amp; "• " &amp; 'الجدول'!H174 &amp; CHAR(10) &amp; CHAR(10) &amp; "■■ " &amp; 'الجدول'!I1 &amp; " ■■" &amp; CHAR(10) &amp; "• " &amp; 'الجدول'!I170 &amp; CHAR(10) &amp; "• " &amp; 'الجدول'!I171 &amp; CHAR(10) &amp; "• " &amp; 'الجدول'!I172 &amp; CHAR(10) &amp; "• " &amp; 'الجدول'!I173 &amp; CHAR(10) &amp; "• " &amp; 'الجدول'!I174 &amp; CHAR(10) &amp; CHAR(10) &amp; "■■ " &amp; 'الجدول'!J1 &amp; " ■■" &amp; CHAR(10) &amp; "• " &amp; 'الجدول'!J170 &amp; CHAR(10) &amp; "• " &amp; 'الجدول'!J171 &amp; CHAR(10) &amp; "• " &amp; 'الجدول'!J172 &amp; CHAR(10) &amp; "• " &amp; 'الجدول'!J173 &amp; CHAR(10) &amp; "• " &amp; 'الجدول'!J174 &amp; CHAR(10) &amp; CHAR(10) &amp; "■■ " &amp; 'الجدول'!K1 &amp; " ■■" &amp; CHAR(10) &amp; "• " &amp; 'الجدول'!K170 &amp; CHAR(10) &amp; "• " &amp; 'الجدول'!K171 &amp; CHAR(10) &amp; "• " &amp; 'الجدول'!K172 &amp; CHAR(10) &amp; "• " &amp; 'الجدول'!K173 &amp; CHAR(10) &amp; "• " &amp; 'الجدول'!K174 &amp; CHAR(10) &amp; CHAR(10) &amp; "■■ " &amp; 'الجدول'!L1 &amp; " ■■" &amp; CHAR(10) &amp; "• " &amp; 'الجدول'!L170 &amp; CHAR(10) &amp; "• " &amp; 'الجدول'!L171 &amp; CHAR(10) &amp; "• " &amp; 'الجدول'!L172 &amp; CHAR(10) &amp; "• " &amp; 'الجدول'!L173 &amp; CHAR(10) &amp; "• " &amp; 'الجدول'!L174 &amp; CHAR(10) &amp; CHAR(10) &amp; "■■ " &amp; 'الجدول'!M1 &amp; " ■■" &amp; CHAR(10) &amp; "• " &amp; 'الجدول'!M170 &amp; CHAR(10) &amp; "• " &amp; 'الجدول'!M171 &amp; CHAR(10) &amp; "• " &amp; 'الجدول'!M172 &amp; CHAR(10) &amp; "• " &amp; 'الجدول'!M173 &amp; CHAR(10) &amp; "• " &amp; 'الجدول'!M174 &amp; CHAR(10) &amp; CHAR(10) &amp; "■■ " &amp; 'الجدول'!N1 &amp; " ■■" &amp; CHAR(10) &amp; "• " &amp; 'الجدول'!N170 &amp; CHAR(10) &amp; "• " &amp; 'الجدول'!N171 &amp; CHAR(10) &amp; "• " &amp; 'الجدول'!N172 &amp; CHAR(10) &amp; "• " &amp; 'الجدول'!N173 &amp; CHAR(10) &amp; "• " &amp; 'الجدول'!N174 &amp; CHAR(10) &amp; CHAR(10) &amp; "■■ " &amp; 'الجدول'!O1 &amp; " ■■" &amp; CHAR(10) &amp; "• " &amp; 'الجدول'!O170 &amp; CHAR(10) &amp; "• " &amp; 'الجدول'!O171 &amp; CHAR(10) &amp; "• " &amp; 'الجدول'!O172 &amp; CHAR(10) &amp; "• " &amp; 'الجدول'!O173 &amp; CHAR(10) &amp; "• " &amp; 'الجدول'!O174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مي طارق نهاد
(01287477488)
• عمرو عبدالغفار حمزة
(01014246636)
• سندس أحمد سيد
(01156131096)
• عمر محمد سيد
(01000688544)
• ملك محمد فؤاد
(01001721072)
■■ WARD-NIGHT-🌙 ■■
• رنا اكرم احمد
(01122182132)
• ريهام سعد عبدالرحمن
(01124867574)
• محمود محمد عبدالرحمن
(01023283048)
• ----------
• ----------
</v>
      </c>
      <c r="C27" s="3" t="str">
        <f>HYPERLINK("#الجدول!A" &amp; 169, "الجدول الأساسي")</f>
        <v>الجدول الأساسي</v>
      </c>
    </row>
    <row r="28" ht="15.75" customHeight="1">
      <c r="A28" s="1" t="s">
        <v>108</v>
      </c>
      <c r="B28" s="5" t="str">
        <f>"" &amp; "■■ " &amp; 'الجدول'!B1 &amp; " ■■" &amp; CHAR(10) &amp; "• " &amp; 'الجدول'!B175 &amp; CHAR(10) &amp; "• " &amp; 'الجدول'!B176 &amp; CHAR(10) &amp; "• " &amp; 'الجدول'!B177 &amp; CHAR(10) &amp; "• " &amp; 'الجدول'!B178 &amp; CHAR(10) &amp; "• " &amp; 'الجدول'!B179 &amp; CHAR(10) &amp; CHAR(10) &amp; "■■ " &amp; 'الجدول'!C1 &amp; " ■■" &amp; CHAR(10) &amp; "• " &amp; 'الجدول'!C175 &amp; CHAR(10) &amp; "• " &amp; 'الجدول'!C176 &amp; CHAR(10) &amp; "• " &amp; 'الجدول'!C177 &amp; CHAR(10) &amp; "• " &amp; 'الجدول'!C178 &amp; CHAR(10) &amp; "• " &amp; 'الجدول'!C179 &amp; CHAR(10) &amp; CHAR(10) &amp; "■■ " &amp; 'الجدول'!D1 &amp; " ■■" &amp; CHAR(10) &amp; "• " &amp; 'الجدول'!D175 &amp; CHAR(10) &amp; "• " &amp; 'الجدول'!D176 &amp; CHAR(10) &amp; "• " &amp; 'الجدول'!D177 &amp; CHAR(10) &amp; "• " &amp; 'الجدول'!D178 &amp; CHAR(10) &amp; "• " &amp; 'الجدول'!D179 &amp; CHAR(10) &amp; CHAR(10) &amp; "■■ " &amp; 'الجدول'!E1 &amp; " ■■" &amp; CHAR(10) &amp; "• " &amp; 'الجدول'!E175 &amp; CHAR(10) &amp; "• " &amp; 'الجدول'!E176 &amp; CHAR(10) &amp; "• " &amp; 'الجدول'!E177 &amp; CHAR(10) &amp; "• " &amp; 'الجدول'!E178 &amp; CHAR(10) &amp; "• " &amp; 'الجدول'!E179 &amp; CHAR(10) &amp; CHAR(10) &amp; "■■ " &amp; 'الجدول'!F1 &amp; " ■■" &amp; CHAR(10) &amp; "• " &amp; 'الجدول'!F175 &amp; CHAR(10) &amp; "• " &amp; 'الجدول'!F176 &amp; CHAR(10) &amp; "• " &amp; 'الجدول'!F177 &amp; CHAR(10) &amp; "• " &amp; 'الجدول'!F178 &amp; CHAR(10) &amp; "• " &amp; 'الجدول'!F179 &amp; CHAR(10) &amp; CHAR(10) &amp; "■■ " &amp; 'الجدول'!G1 &amp; " ■■" &amp; CHAR(10) &amp; "• " &amp; 'الجدول'!G175 &amp; CHAR(10) &amp; "• " &amp; 'الجدول'!G176 &amp; CHAR(10) &amp; "• " &amp; 'الجدول'!G177 &amp; CHAR(10) &amp; "• " &amp; 'الجدول'!G178 &amp; CHAR(10) &amp; "• " &amp; 'الجدول'!G179 &amp; CHAR(10) &amp; CHAR(10) &amp; "■■ " &amp; 'الجدول'!H1 &amp; " ■■" &amp; CHAR(10) &amp; "• " &amp; 'الجدول'!H175 &amp; CHAR(10) &amp; "• " &amp; 'الجدول'!H176 &amp; CHAR(10) &amp; "• " &amp; 'الجدول'!H177 &amp; CHAR(10) &amp; "• " &amp; 'الجدول'!H178 &amp; CHAR(10) &amp; "• " &amp; 'الجدول'!H179 &amp; CHAR(10) &amp; CHAR(10) &amp; "■■ " &amp; 'الجدول'!I1 &amp; " ■■" &amp; CHAR(10) &amp; "• " &amp; 'الجدول'!I175 &amp; CHAR(10) &amp; "• " &amp; 'الجدول'!I176 &amp; CHAR(10) &amp; "• " &amp; 'الجدول'!I177 &amp; CHAR(10) &amp; "• " &amp; 'الجدول'!I178 &amp; CHAR(10) &amp; "• " &amp; 'الجدول'!I179 &amp; CHAR(10) &amp; CHAR(10) &amp; "■■ " &amp; 'الجدول'!J1 &amp; " ■■" &amp; CHAR(10) &amp; "• " &amp; 'الجدول'!J175 &amp; CHAR(10) &amp; "• " &amp; 'الجدول'!J176 &amp; CHAR(10) &amp; "• " &amp; 'الجدول'!J177 &amp; CHAR(10) &amp; "• " &amp; 'الجدول'!J178 &amp; CHAR(10) &amp; "• " &amp; 'الجدول'!J179 &amp; CHAR(10) &amp; CHAR(10) &amp; "■■ " &amp; 'الجدول'!K1 &amp; " ■■" &amp; CHAR(10) &amp; "• " &amp; 'الجدول'!K175 &amp; CHAR(10) &amp; "• " &amp; 'الجدول'!K176 &amp; CHAR(10) &amp; "• " &amp; 'الجدول'!K177 &amp; CHAR(10) &amp; "• " &amp; 'الجدول'!K178 &amp; CHAR(10) &amp; "• " &amp; 'الجدول'!K179 &amp; CHAR(10) &amp; CHAR(10) &amp; "■■ " &amp; 'الجدول'!L1 &amp; " ■■" &amp; CHAR(10) &amp; "• " &amp; 'الجدول'!L175 &amp; CHAR(10) &amp; "• " &amp; 'الجدول'!L176 &amp; CHAR(10) &amp; "• " &amp; 'الجدول'!L177 &amp; CHAR(10) &amp; "• " &amp; 'الجدول'!L178 &amp; CHAR(10) &amp; "• " &amp; 'الجدول'!L179 &amp; CHAR(10) &amp; CHAR(10) &amp; "■■ " &amp; 'الجدول'!M1 &amp; " ■■" &amp; CHAR(10) &amp; "• " &amp; 'الجدول'!M175 &amp; CHAR(10) &amp; "• " &amp; 'الجدول'!M176 &amp; CHAR(10) &amp; "• " &amp; 'الجدول'!M177 &amp; CHAR(10) &amp; "• " &amp; 'الجدول'!M178 &amp; CHAR(10) &amp; "• " &amp; 'الجدول'!M179 &amp; CHAR(10) &amp; CHAR(10) &amp; "■■ " &amp; 'الجدول'!N1 &amp; " ■■" &amp; CHAR(10) &amp; "• " &amp; 'الجدول'!N175 &amp; CHAR(10) &amp; "• " &amp; 'الجدول'!N176 &amp; CHAR(10) &amp; "• " &amp; 'الجدول'!N177 &amp; CHAR(10) &amp; "• " &amp; 'الجدول'!N178 &amp; CHAR(10) &amp; "• " &amp; 'الجدول'!N179 &amp; CHAR(10) &amp; CHAR(10) &amp; "■■ " &amp; 'الجدول'!O1 &amp; " ■■" &amp; CHAR(10) &amp; "• " &amp; 'الجدول'!O175 &amp; CHAR(10) &amp; "• " &amp; 'الجدول'!O176 &amp; CHAR(10) &amp; "• " &amp; 'الجدول'!O177 &amp; CHAR(10) &amp; "• " &amp; 'الجدول'!O178 &amp; CHAR(10) &amp; "• " &amp; 'الجدول'!O179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محمد عمرو محمد عبدالباقي
(01151653320)
• احمد ايهاب محمد عواد
(01032298339)
• أحمد رجب محمد
(01273127265)
• Marwan Ayman
(01149894940)
• حنان النبوى محمد
(01067888751)
■■ WARD-NIGHT-🌙 ■■
• عبدالله احمد
(01020242571)
• عمرو عبدالغفار حمزة
(01014246636)
• نورهان محمد
(0112 826 8287)
• شدو محمد شلتوت
(1550336384)
• ----------
</v>
      </c>
      <c r="C28" s="3" t="str">
        <f>HYPERLINK("#الجدول!A" &amp; 174, "الجدول الأساسي")</f>
        <v>الجدول الأساسي</v>
      </c>
    </row>
    <row r="29" ht="15.75" customHeight="1">
      <c r="A29" s="1" t="s">
        <v>109</v>
      </c>
      <c r="B29" s="5" t="str">
        <f>"" &amp; "■■ " &amp; 'الجدول'!B1 &amp; " ■■" &amp; CHAR(10) &amp; "• " &amp; 'الجدول'!B180 &amp; CHAR(10) &amp; "• " &amp; 'الجدول'!B181 &amp; CHAR(10) &amp; "• " &amp; 'الجدول'!B182 &amp; CHAR(10) &amp; "• " &amp; 'الجدول'!B183 &amp; CHAR(10) &amp; "• " &amp; 'الجدول'!B184 &amp; CHAR(10) &amp; CHAR(10) &amp; "■■ " &amp; 'الجدول'!C1 &amp; " ■■" &amp; CHAR(10) &amp; "• " &amp; 'الجدول'!C180 &amp; CHAR(10) &amp; "• " &amp; 'الجدول'!C181 &amp; CHAR(10) &amp; "• " &amp; 'الجدول'!C182 &amp; CHAR(10) &amp; "• " &amp; 'الجدول'!C183 &amp; CHAR(10) &amp; "• " &amp; 'الجدول'!C184 &amp; CHAR(10) &amp; CHAR(10) &amp; "■■ " &amp; 'الجدول'!D1 &amp; " ■■" &amp; CHAR(10) &amp; "• " &amp; 'الجدول'!D180 &amp; CHAR(10) &amp; "• " &amp; 'الجدول'!D181 &amp; CHAR(10) &amp; "• " &amp; 'الجدول'!D182 &amp; CHAR(10) &amp; "• " &amp; 'الجدول'!D183 &amp; CHAR(10) &amp; "• " &amp; 'الجدول'!D184 &amp; CHAR(10) &amp; CHAR(10) &amp; "■■ " &amp; 'الجدول'!E1 &amp; " ■■" &amp; CHAR(10) &amp; "• " &amp; 'الجدول'!E180 &amp; CHAR(10) &amp; "• " &amp; 'الجدول'!E181 &amp; CHAR(10) &amp; "• " &amp; 'الجدول'!E182 &amp; CHAR(10) &amp; "• " &amp; 'الجدول'!E183 &amp; CHAR(10) &amp; "• " &amp; 'الجدول'!E184 &amp; CHAR(10) &amp; CHAR(10) &amp; "■■ " &amp; 'الجدول'!F1 &amp; " ■■" &amp; CHAR(10) &amp; "• " &amp; 'الجدول'!F180 &amp; CHAR(10) &amp; "• " &amp; 'الجدول'!F181 &amp; CHAR(10) &amp; "• " &amp; 'الجدول'!F182 &amp; CHAR(10) &amp; "• " &amp; 'الجدول'!F183 &amp; CHAR(10) &amp; "• " &amp; 'الجدول'!F184 &amp; CHAR(10) &amp; CHAR(10) &amp; "■■ " &amp; 'الجدول'!G1 &amp; " ■■" &amp; CHAR(10) &amp; "• " &amp; 'الجدول'!G180 &amp; CHAR(10) &amp; "• " &amp; 'الجدول'!G181 &amp; CHAR(10) &amp; "• " &amp; 'الجدول'!G182 &amp; CHAR(10) &amp; "• " &amp; 'الجدول'!G183 &amp; CHAR(10) &amp; "• " &amp; 'الجدول'!G184 &amp; CHAR(10) &amp; CHAR(10) &amp; "■■ " &amp; 'الجدول'!H1 &amp; " ■■" &amp; CHAR(10) &amp; "• " &amp; 'الجدول'!H180 &amp; CHAR(10) &amp; "• " &amp; 'الجدول'!H181 &amp; CHAR(10) &amp; "• " &amp; 'الجدول'!H182 &amp; CHAR(10) &amp; "• " &amp; 'الجدول'!H183 &amp; CHAR(10) &amp; "• " &amp; 'الجدول'!H184 &amp; CHAR(10) &amp; CHAR(10) &amp; "■■ " &amp; 'الجدول'!I1 &amp; " ■■" &amp; CHAR(10) &amp; "• " &amp; 'الجدول'!I180 &amp; CHAR(10) &amp; "• " &amp; 'الجدول'!I181 &amp; CHAR(10) &amp; "• " &amp; 'الجدول'!I182 &amp; CHAR(10) &amp; "• " &amp; 'الجدول'!I183 &amp; CHAR(10) &amp; "• " &amp; 'الجدول'!I184 &amp; CHAR(10) &amp; CHAR(10) &amp; "■■ " &amp; 'الجدول'!J1 &amp; " ■■" &amp; CHAR(10) &amp; "• " &amp; 'الجدول'!J180 &amp; CHAR(10) &amp; "• " &amp; 'الجدول'!J181 &amp; CHAR(10) &amp; "• " &amp; 'الجدول'!J182 &amp; CHAR(10) &amp; "• " &amp; 'الجدول'!J183 &amp; CHAR(10) &amp; "• " &amp; 'الجدول'!J184 &amp; CHAR(10) &amp; CHAR(10) &amp; "■■ " &amp; 'الجدول'!K1 &amp; " ■■" &amp; CHAR(10) &amp; "• " &amp; 'الجدول'!K180 &amp; CHAR(10) &amp; "• " &amp; 'الجدول'!K181 &amp; CHAR(10) &amp; "• " &amp; 'الجدول'!K182 &amp; CHAR(10) &amp; "• " &amp; 'الجدول'!K183 &amp; CHAR(10) &amp; "• " &amp; 'الجدول'!K184 &amp; CHAR(10) &amp; CHAR(10) &amp; "■■ " &amp; 'الجدول'!L1 &amp; " ■■" &amp; CHAR(10) &amp; "• " &amp; 'الجدول'!L180 &amp; CHAR(10) &amp; "• " &amp; 'الجدول'!L181 &amp; CHAR(10) &amp; "• " &amp; 'الجدول'!L182 &amp; CHAR(10) &amp; "• " &amp; 'الجدول'!L183 &amp; CHAR(10) &amp; "• " &amp; 'الجدول'!L184 &amp; CHAR(10) &amp; CHAR(10) &amp; "■■ " &amp; 'الجدول'!M1 &amp; " ■■" &amp; CHAR(10) &amp; "• " &amp; 'الجدول'!M180 &amp; CHAR(10) &amp; "• " &amp; 'الجدول'!M181 &amp; CHAR(10) &amp; "• " &amp; 'الجدول'!M182 &amp; CHAR(10) &amp; "• " &amp; 'الجدول'!M183 &amp; CHAR(10) &amp; "• " &amp; 'الجدول'!M184 &amp; CHAR(10) &amp; CHAR(10) &amp; "■■ " &amp; 'الجدول'!N1 &amp; " ■■" &amp; CHAR(10) &amp; "• " &amp; 'الجدول'!N180 &amp; CHAR(10) &amp; "• " &amp; 'الجدول'!N181 &amp; CHAR(10) &amp; "• " &amp; 'الجدول'!N182 &amp; CHAR(10) &amp; "• " &amp; 'الجدول'!N183 &amp; CHAR(10) &amp; "• " &amp; 'الجدول'!N184 &amp; CHAR(10) &amp; CHAR(10) &amp; "■■ " &amp; 'الجدول'!O1 &amp; " ■■" &amp; CHAR(10) &amp; "• " &amp; 'الجدول'!O180 &amp; CHAR(10) &amp; "• " &amp; 'الجدول'!O181 &amp; CHAR(10) &amp; "• " &amp; 'الجدول'!O182 &amp; CHAR(10) &amp; "• " &amp; 'الجدول'!O183 &amp; CHAR(10) &amp; "• " &amp; 'الجدول'!O184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ER-clinic Day ☀️🚨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عبدالله احمد
(01020242571)
• يوسف عاطف رزق الله
(01148183647)
• احمد حسين أحمد
(01001877491)
• ----------
• ----------
■■ WARD-DAY-☀️ ■■
• Ziad said mohamed
(01028577876)
• كارين روماني راشد
(01102663062)
• مصطفى عبد الراضى صديق
(01226696153)
• احمدنوید قیومی
(01104573242)
• بلال أحمد
(01066883767)
■■ WARD-NIGHT-🌙 ■■
• يوسف طه السيد
(01207620695)
• نورهان محمد
(0112 826 8287)
• محمود محمد عبدالرحمن
(01023283048)
• ----------
• ----------
</v>
      </c>
      <c r="C29" s="3" t="str">
        <f>HYPERLINK("#الجدول!A" &amp; 179, "الجدول الأساسي")</f>
        <v>الجدول الأساسي</v>
      </c>
    </row>
    <row r="30" ht="15.75" customHeight="1">
      <c r="A30" s="1"/>
      <c r="B30" s="5"/>
      <c r="C30" s="3"/>
    </row>
    <row r="31" ht="15.75" customHeight="1">
      <c r="A31" s="1"/>
      <c r="B31" s="5"/>
      <c r="C31" s="3"/>
    </row>
    <row r="32" ht="15.75" customHeight="1">
      <c r="A32" s="1"/>
      <c r="B32" s="5"/>
      <c r="C32" s="3"/>
    </row>
    <row r="33" ht="15.75" customHeight="1">
      <c r="A33" s="1"/>
      <c r="B33" s="5"/>
      <c r="C33" s="3"/>
    </row>
    <row r="34" ht="15.75" customHeight="1">
      <c r="A34" s="1"/>
      <c r="B34" s="5"/>
      <c r="C34" s="3"/>
    </row>
    <row r="35" ht="15.75" customHeight="1">
      <c r="A35" s="1"/>
      <c r="B35" s="5"/>
      <c r="C35" s="3"/>
    </row>
    <row r="36" ht="15.75" customHeight="1">
      <c r="A36" s="1"/>
      <c r="B36" s="5"/>
      <c r="C36" s="3"/>
    </row>
    <row r="37" ht="15.75" customHeight="1">
      <c r="A37" s="1"/>
      <c r="B37" s="5"/>
      <c r="C37" s="3"/>
    </row>
    <row r="38" ht="15.75" customHeight="1">
      <c r="A38" s="1"/>
      <c r="B38" s="5"/>
      <c r="C38" s="3"/>
    </row>
    <row r="39" ht="15.75" customHeight="1">
      <c r="A39" s="1"/>
      <c r="B39" s="5"/>
      <c r="C39" s="3"/>
    </row>
    <row r="40" ht="15.75" customHeight="1">
      <c r="A40" s="1"/>
      <c r="B40" s="5"/>
      <c r="C40" s="3"/>
    </row>
    <row r="41" ht="15.75" customHeight="1">
      <c r="A41" s="1"/>
      <c r="B41" s="5"/>
      <c r="C41" s="3"/>
    </row>
    <row r="42" ht="15.75" customHeight="1">
      <c r="A42" s="1"/>
      <c r="B42" s="5"/>
      <c r="C42" s="3"/>
    </row>
    <row r="43" ht="15.75" customHeight="1">
      <c r="A43" s="1"/>
      <c r="B43" s="5"/>
      <c r="C43" s="3"/>
    </row>
    <row r="44" ht="15.75" customHeight="1">
      <c r="A44" s="1"/>
      <c r="B44" s="5"/>
      <c r="C44" s="3"/>
    </row>
    <row r="45" ht="15.75" customHeight="1">
      <c r="A45" s="1"/>
      <c r="B45" s="5"/>
      <c r="C45" s="3"/>
    </row>
    <row r="46" ht="15.75" customHeight="1">
      <c r="A46" s="1"/>
      <c r="B46" s="5"/>
      <c r="C46" s="3"/>
    </row>
    <row r="47" ht="15.75" customHeight="1">
      <c r="A47" s="1"/>
      <c r="B47" s="5"/>
      <c r="C47" s="3"/>
    </row>
    <row r="48" ht="15.75" customHeight="1">
      <c r="A48" s="1"/>
      <c r="B48" s="5"/>
      <c r="C48" s="3"/>
    </row>
    <row r="49" ht="15.75" customHeight="1">
      <c r="A49" s="1"/>
      <c r="B49" s="5"/>
      <c r="C49" s="3"/>
    </row>
    <row r="50" ht="15.75" customHeight="1">
      <c r="A50" s="1"/>
      <c r="B50" s="5"/>
      <c r="C50" s="3"/>
    </row>
    <row r="51" ht="15.75" customHeight="1">
      <c r="A51" s="1"/>
      <c r="B51" s="5"/>
      <c r="C51" s="3"/>
    </row>
    <row r="52" ht="15.75" customHeight="1">
      <c r="A52" s="1"/>
      <c r="B52" s="5"/>
      <c r="C52" s="3"/>
    </row>
    <row r="53" ht="15.75" customHeight="1">
      <c r="A53" s="1"/>
      <c r="B53" s="5"/>
      <c r="C53" s="3"/>
    </row>
    <row r="54" ht="15.75" customHeight="1">
      <c r="A54" s="1"/>
      <c r="B54" s="5"/>
      <c r="C54" s="3"/>
    </row>
    <row r="55" ht="15.75" customHeight="1">
      <c r="A55" s="1"/>
      <c r="B55" s="5"/>
      <c r="C55" s="3"/>
    </row>
    <row r="56" ht="15.75" customHeight="1">
      <c r="A56" s="1"/>
      <c r="B56" s="5"/>
      <c r="C56" s="3"/>
    </row>
    <row r="57" ht="15.75" customHeight="1">
      <c r="A57" s="1"/>
      <c r="B57" s="5"/>
      <c r="C57" s="3"/>
    </row>
    <row r="58" ht="15.75" customHeight="1">
      <c r="A58" s="1"/>
      <c r="B58" s="5"/>
      <c r="C58" s="3"/>
    </row>
    <row r="59" ht="15.75" customHeight="1">
      <c r="A59" s="1"/>
      <c r="B59" s="5"/>
      <c r="C59" s="3"/>
    </row>
    <row r="60" ht="15.75" customHeight="1">
      <c r="A60" s="1"/>
      <c r="B60" s="5"/>
      <c r="C60" s="3"/>
    </row>
    <row r="61" ht="15.75" customHeight="1">
      <c r="A61" s="1"/>
      <c r="B61" s="5"/>
      <c r="C61" s="3"/>
    </row>
    <row r="62" ht="15.75" customHeight="1">
      <c r="A62" s="1"/>
      <c r="B62" s="5"/>
      <c r="C62" s="3"/>
    </row>
    <row r="63" ht="15.75" customHeight="1">
      <c r="A63" s="1"/>
      <c r="B63" s="5"/>
      <c r="C63" s="3"/>
    </row>
    <row r="64" ht="15.75" customHeight="1">
      <c r="A64" s="1"/>
      <c r="B64" s="5"/>
      <c r="C64" s="3"/>
    </row>
    <row r="65" ht="15.75" customHeight="1">
      <c r="A65" s="1"/>
      <c r="B65" s="5"/>
      <c r="C65" s="3"/>
    </row>
    <row r="66" ht="15.75" customHeight="1">
      <c r="A66" s="1"/>
      <c r="B66" s="5"/>
      <c r="C66" s="3"/>
    </row>
    <row r="67" ht="15.75" customHeight="1">
      <c r="A67" s="1"/>
      <c r="B67" s="5"/>
      <c r="C67" s="3"/>
    </row>
    <row r="68" ht="15.75" customHeight="1">
      <c r="A68" s="1"/>
      <c r="B68" s="5"/>
      <c r="C68" s="3"/>
    </row>
    <row r="69" ht="15.75" customHeight="1">
      <c r="A69" s="1"/>
      <c r="B69" s="5"/>
      <c r="C69" s="3"/>
    </row>
    <row r="70" ht="15.75" customHeight="1">
      <c r="A70" s="1"/>
      <c r="B70" s="5"/>
      <c r="C70" s="3"/>
    </row>
    <row r="71" ht="15.75" customHeight="1">
      <c r="A71" s="1"/>
      <c r="B71" s="5"/>
      <c r="C71" s="3"/>
    </row>
    <row r="72" ht="15.75" customHeight="1">
      <c r="A72" s="1"/>
      <c r="B72" s="5"/>
      <c r="C72" s="3"/>
    </row>
    <row r="73" ht="15.75" customHeight="1">
      <c r="A73" s="1"/>
      <c r="B73" s="5"/>
      <c r="C73" s="3"/>
    </row>
    <row r="74" ht="15.75" customHeight="1">
      <c r="A74" s="1"/>
      <c r="B74" s="5"/>
      <c r="C74" s="3"/>
    </row>
    <row r="75" ht="15.75" customHeight="1">
      <c r="A75" s="1"/>
      <c r="B75" s="5"/>
      <c r="C75" s="3"/>
    </row>
    <row r="76" ht="15.75" customHeight="1">
      <c r="A76" s="1"/>
      <c r="B76" s="5"/>
      <c r="C76" s="3"/>
    </row>
    <row r="77" ht="15.75" customHeight="1">
      <c r="A77" s="1"/>
      <c r="B77" s="5"/>
      <c r="C77" s="3"/>
    </row>
    <row r="78" ht="15.75" customHeight="1">
      <c r="A78" s="1"/>
      <c r="B78" s="5"/>
      <c r="C78" s="3"/>
    </row>
    <row r="79" ht="15.75" customHeight="1">
      <c r="A79" s="1"/>
      <c r="B79" s="5"/>
      <c r="C79" s="3"/>
    </row>
    <row r="80" ht="15.75" customHeight="1">
      <c r="A80" s="1"/>
      <c r="B80" s="5"/>
      <c r="C80" s="3"/>
    </row>
    <row r="81" ht="15.75" customHeight="1">
      <c r="A81" s="1"/>
      <c r="B81" s="5"/>
      <c r="C81" s="3"/>
    </row>
    <row r="82" ht="15.75" customHeight="1">
      <c r="A82" s="1"/>
      <c r="B82" s="5"/>
      <c r="C82" s="3"/>
    </row>
    <row r="83" ht="15.75" customHeight="1">
      <c r="A83" s="1"/>
      <c r="B83" s="5"/>
      <c r="C83" s="3"/>
    </row>
    <row r="84" ht="15.75" customHeight="1">
      <c r="A84" s="1"/>
      <c r="B84" s="5"/>
      <c r="C84" s="3"/>
    </row>
    <row r="85" ht="15.75" customHeight="1">
      <c r="A85" s="1"/>
      <c r="B85" s="5"/>
      <c r="C85" s="3"/>
    </row>
    <row r="86" ht="15.75" customHeight="1">
      <c r="A86" s="1"/>
      <c r="B86" s="5"/>
      <c r="C86" s="3"/>
    </row>
    <row r="87" ht="15.75" customHeight="1">
      <c r="A87" s="1"/>
      <c r="B87" s="5"/>
      <c r="C87" s="3"/>
    </row>
    <row r="88" ht="15.75" customHeight="1">
      <c r="A88" s="1"/>
      <c r="B88" s="5"/>
      <c r="C88" s="3"/>
    </row>
    <row r="89" ht="15.75" customHeight="1">
      <c r="A89" s="1"/>
      <c r="B89" s="5"/>
      <c r="C89" s="3"/>
    </row>
    <row r="90" ht="15.75" customHeight="1">
      <c r="A90" s="1"/>
      <c r="B90" s="5"/>
      <c r="C90" s="3"/>
    </row>
    <row r="91" ht="15.75" customHeight="1">
      <c r="A91" s="1"/>
      <c r="B91" s="5"/>
      <c r="C91" s="3"/>
    </row>
    <row r="92" ht="15.75" customHeight="1">
      <c r="A92" s="1"/>
      <c r="B92" s="5"/>
      <c r="C92" s="3"/>
    </row>
    <row r="93" ht="15.75" customHeight="1">
      <c r="A93" s="1"/>
      <c r="B93" s="5"/>
      <c r="C93" s="3"/>
    </row>
    <row r="94" ht="15.75" customHeight="1">
      <c r="A94" s="1"/>
      <c r="B94" s="5"/>
      <c r="C94" s="3"/>
    </row>
    <row r="95" ht="15.75" customHeight="1">
      <c r="A95" s="1"/>
      <c r="B95" s="5"/>
      <c r="C95" s="3"/>
    </row>
    <row r="96" ht="15.75" customHeight="1">
      <c r="A96" s="1"/>
      <c r="B96" s="5"/>
      <c r="C96" s="3"/>
    </row>
    <row r="97" ht="15.75" customHeight="1">
      <c r="A97" s="1"/>
      <c r="B97" s="5"/>
      <c r="C97" s="3"/>
    </row>
    <row r="98" ht="15.75" customHeight="1">
      <c r="A98" s="1"/>
      <c r="B98" s="5"/>
      <c r="C98" s="3"/>
    </row>
    <row r="99" ht="15.75" customHeight="1">
      <c r="A99" s="1"/>
      <c r="B99" s="5"/>
      <c r="C99" s="3"/>
    </row>
    <row r="100" ht="15.75" customHeight="1">
      <c r="A100" s="1"/>
      <c r="B100" s="5"/>
      <c r="C100" s="3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الجدول</vt:lpstr>
      <vt:lpstr>مجمع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2026-02-03T21:52:05Z</dcterms:created>
  <dc:creator/>
  <cp:lastModifiedBy/>
  <dcterms:modified xsi:type="dcterms:W3CDTF">2026-02-03T21:52:05Z</dcterms:modified>
</cp:coreProperties>
</file>